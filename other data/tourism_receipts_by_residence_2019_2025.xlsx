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d908283aa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de Table" sheetId="1" r:id="Rff145d4934744a14"/>
    <x:sheet xmlns:r="http://schemas.openxmlformats.org/officeDocument/2006/relationships" name="Long Data" sheetId="2" r:id="R73c7aef585ad45ec"/>
    <x:sheet xmlns:r="http://schemas.openxmlformats.org/officeDocument/2006/relationships" name="Sources &amp; Notes" sheetId="3" r:id="R3855ab636ce64b49"/>
  </x:sheets>
</x:workbook>
</file>

<file path=xl/comments1.xml><?xml version="1.0" encoding="utf-8"?>
<x:comments xmlns:x="http://schemas.openxmlformats.org/spreadsheetml/2006/main">
  <x:authors>
    <x:author>tc={98F14EC3-5B6B-42BB-8325-7E48B27502EA}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2019 source discrepancy: the annual-report narrative states S$3,074m, while the graphic prints S$3,704m. This workbook uses S$3,074m because it reconciles the report's stated ~41% top-three share and the following year's reported decline.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S$&quot;#,##0.00"/>
    <x:numFmt numFmtId="201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413F"/>
      <x:name val="Carlito"/>
    </x:font>
    <x:font>
      <x:b/>
      <x:sz val="11"/>
      <x:color rgb="FF526463"/>
      <x:name val="Carlito"/>
    </x:font>
    <x:font>
      <x:b/>
      <x:sz val="11"/>
      <x:color rgb="FFFFFFFF"/>
      <x:name val="Carlito"/>
    </x:font>
    <x:font>
      <x:b/>
      <x:sz val="11"/>
      <x:color rgb="FF263B3A"/>
      <x:name val="Carlito"/>
    </x:font>
    <x:font>
      <x:i/>
      <x:sz val="11"/>
      <x:color rgb="FF24413F"/>
      <x:name val="Carlito"/>
    </x:font>
    <x:font>
      <x:b/>
      <x:sz val="13"/>
      <x:color rgb="FF184E4C"/>
      <x:name val="Carlito"/>
    </x:font>
    <x:font>
      <x:sz val="11"/>
      <x:color rgb="FF263B3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07C7A"/>
      </x:patternFill>
    </x:fill>
    <x:fill>
      <x:patternFill patternType="solid">
        <x:fgColor rgb="FFE7F4F3"/>
      </x:patternFill>
    </x:fill>
    <x:fill>
      <x:patternFill patternType="solid">
        <x:fgColor rgb="FFF3F6F6"/>
      </x:patternFill>
    </x:fill>
    <x:fill>
      <x:patternFill patternType="solid">
        <x:fgColor rgb="FF184E4C"/>
      </x:patternFill>
    </x:fill>
    <x:fill>
      <x:patternFill patternType="solid">
        <x:fgColor rgb="FFFFF4D6"/>
      </x:patternFill>
    </x:fill>
    <x:fill>
      <x:patternFill patternType="solid">
        <x:fgColor rgb="FFB97800"/>
      </x:patternFill>
    </x:fill>
    <x:fill>
      <x:patternFill patternType="solid">
        <x:fgColor rgb="FFD8ECEA"/>
      </x:patternFill>
    </x:fill>
    <x:fill>
      <x:patternFill patternType="solid">
        <x:fgColor rgb="FFF7FAFA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3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/>
    </x:xf>
    <x:xf numFmtId="200" fontId="0" fillId="6" borderId="0" xfId="0" applyNumberFormat="1" applyFont="1" applyFill="1" applyBorder="1" applyAlignment="1">
      <x:alignment horizontal="right"/>
    </x:xf>
    <x:xf numFmtId="0" fontId="4" fillId="7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db2beeb6e4f7a" /><Relationship Type="http://schemas.openxmlformats.org/officeDocument/2006/relationships/theme" Target="/xl/theme/theme1.xml" Id="Rbe3001c269a24f41" /><Relationship Type="http://schemas.openxmlformats.org/officeDocument/2006/relationships/sharedStrings" Target="/xl/sharedStrings.xml" Id="R51d5aab1408c4055" /><Relationship Type="http://schemas.openxmlformats.org/officeDocument/2006/relationships/worksheet" Target="/xl/worksheets/sheet1.xml" Id="Rff145d4934744a14" /><Relationship Type="http://schemas.openxmlformats.org/officeDocument/2006/relationships/worksheet" Target="/xl/worksheets/sheet2.xml" Id="R73c7aef585ad45ec" /><Relationship Type="http://schemas.openxmlformats.org/officeDocument/2006/relationships/worksheet" Target="/xl/worksheets/sheet3.xml" Id="R3855ab636ce64b49" /><Relationship Type="http://schemas.microsoft.com/office/2017/10/relationships/person" Target="/xl/persons/person.xml" Id="R8c326fdeca0744f1" /></Relationships>
</file>

<file path=xl/persons/person.xml><?xml version="1.0" encoding="utf-8"?>
<xltc:personList xmlns:xltc="http://schemas.microsoft.com/office/spreadsheetml/2018/threadedcomments">
  <xltc:person displayName="User" id="{D2BCA62A-0578-4E0C-BB38-9617F1AA3ED6}"/>
</xltc:personList>
</file>

<file path=xl/tables/table1.xml><?xml version="1.0" encoding="utf-8"?>
<x:table xmlns:x="http://schemas.openxmlformats.org/spreadsheetml/2006/main" id="1" name="ReceiptsWide" displayName="ReceiptsWide" ref="A4:H17" headerRowCount="1" totalsRowCount="0" totalsRowShown="0">
  <x:tableColumns count="8">
    <x:tableColumn id="1" name="Place of residence"/>
    <x:tableColumn id="2" name="2019"/>
    <x:tableColumn id="3" name="2020"/>
    <x:tableColumn id="4" name="2021"/>
    <x:tableColumn id="5" name="2022"/>
    <x:tableColumn id="6" name="2023"/>
    <x:tableColumn id="7" name="2024"/>
    <x:tableColumn id="8" name="202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eiptsLong" displayName="ReceiptsLong" ref="A1:J64" headerRowCount="1" totalsRowCount="0" totalsRowShown="0">
  <x:tableColumns count="10">
    <x:tableColumn id="1" name="Year"/>
    <x:tableColumn id="2" name="Coverage"/>
    <x:tableColumn id="3" name="Place of residence"/>
    <x:tableColumn id="4" name="Receipts (S$m, ex-SEG)"/>
    <x:tableColumn id="5" name="Published rank"/>
    <x:tableColumn id="6" name="Disclosure basis"/>
    <x:tableColumn id="7" name="Source report"/>
    <x:tableColumn id="8" name="Source page"/>
    <x:tableColumn id="9" name="Source URL"/>
    <x:tableColumn id="10" name="Quality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Register" displayName="SourceRegister" ref="A4:F11" headerRowCount="1" totalsRowCount="0" totalsRowShown="0">
  <x:tableColumns count="6">
    <x:tableColumn id="1" name="Data year"/>
    <x:tableColumn id="2" name="Coverage"/>
    <x:tableColumn id="3" name="Source"/>
    <x:tableColumn id="4" name="Table / page"/>
    <x:tableColumn id="5" name="URL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8-29T02:01:53.463" personId="{D2BCA62A-0578-4E0C-BB38-9617F1AA3ED6}" id="{98F14EC3-5B6B-42BB-8325-7E48B27502EA}">
    <xltc:text>2019 source discrepancy: the annual-report narrative states S$3,074m, while the graphic prints S$3,704m. This workbook uses S$3,074m because it reconciles the report's stated ~41% top-three share and the following year's reported decline.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77e301ca3744450" /><Relationship Type="http://schemas.openxmlformats.org/officeDocument/2006/relationships/vmlDrawing" Target="/xl/drawings/vmldrawing.vml" Id="R94f658727a514ad0" /><Relationship Type="http://schemas.microsoft.com/office/2017/10/relationships/threadedComment" Target="/xl/threadedcomments/threadedcomment.xml" Id="R1a9a385c8a1d45c4" /><Relationship Type="http://schemas.openxmlformats.org/officeDocument/2006/relationships/table" Target="/xl/tables/table1.xml" Id="R30dc9486bcd44c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0e3228080d46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ec2de78f2a4d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3" t="str">
        <x:v>Singapore tourism receipts by place of residence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S$ million; country figures exclude Sightseeing, Entertainment &amp; Gaming (SEG). Blanks mean not in the published top 10, not zero.</x:v>
      </x:c>
      <x:c r="B2" s="7"/>
      <x:c r="C2" s="7"/>
      <x:c r="D2" s="7"/>
      <x:c r="E2" s="7"/>
      <x:c r="F2" s="7"/>
      <x:c r="G2" s="7"/>
      <x:c r="H2" s="7"/>
    </x:row>
    <x:row r="3" ht="22" customHeight="1">
      <x:c r="A3" s="10" t="str">
        <x:v>Coverage</x:v>
      </x:c>
      <x:c r="B3" s="10" t="str">
        <x:v>Full year</x:v>
      </x:c>
      <x:c r="C3" s="10" t="str">
        <x:v>Full year</x:v>
      </x:c>
      <x:c r="D3" s="10" t="str">
        <x:v>Full year</x:v>
      </x:c>
      <x:c r="E3" s="10" t="str">
        <x:v>Full year</x:v>
      </x:c>
      <x:c r="F3" s="10" t="str">
        <x:v>Full year</x:v>
      </x:c>
      <x:c r="G3" s="10" t="str">
        <x:v>Full year</x:v>
      </x:c>
      <x:c r="H3" s="17" t="str">
        <x:v>Jan-Sep only</x:v>
      </x:c>
    </x:row>
    <x:row r="4" ht="24" customHeight="1">
      <x:c r="A4" s="13" t="str">
        <x:v>Place of residence</x:v>
      </x:c>
      <x:c r="B4" s="13" t="n">
        <x:v>2019</x:v>
      </x:c>
      <x:c r="C4" s="13" t="n">
        <x:v>2020</x:v>
      </x:c>
      <x:c r="D4" s="13" t="n">
        <x:v>2021</x:v>
      </x:c>
      <x:c r="E4" s="13" t="n">
        <x:v>2022</x:v>
      </x:c>
      <x:c r="F4" s="13" t="n">
        <x:v>2023</x:v>
      </x:c>
      <x:c r="G4" s="13" t="n">
        <x:v>2024</x:v>
      </x:c>
      <x:c r="H4" s="20" t="n">
        <x:v>2025</x:v>
      </x:c>
    </x:row>
    <x:row r="5" ht="22" customHeight="1">
      <x:c r="A5" s="14" t="str">
        <x:v>Mainland China</x:v>
      </x:c>
      <x:c r="B5" s="16" t="n">
        <x:f>IF(COUNTIFS('Long Data'!$A$2:$A$64,B$4,'Long Data'!$C$2:$C$64,$A5)&gt;0,SUMIFS('Long Data'!$D$2:$D$64,'Long Data'!$A$2:$A$64,B$4,'Long Data'!$C$2:$C$64,$A5),"")</x:f>
        <x:v>4124</x:v>
      </x:c>
      <x:c r="C5" s="16" t="n">
        <x:f>IF(COUNTIFS('Long Data'!$A$2:$A$64,C$4,'Long Data'!$C$2:$C$64,$A5)&gt;0,SUMIFS('Long Data'!$D$2:$D$64,'Long Data'!$A$2:$A$64,C$4,'Long Data'!$C$2:$C$64,$A5),"")</x:f>
        <x:v>624</x:v>
      </x:c>
      <x:c r="D5" s="16" t="n">
        <x:f>IF(COUNTIFS('Long Data'!$A$2:$A$64,D$4,'Long Data'!$C$2:$C$64,$A5)&gt;0,SUMIFS('Long Data'!$D$2:$D$64,'Long Data'!$A$2:$A$64,D$4,'Long Data'!$C$2:$C$64,$A5),"")</x:f>
        <x:v>536.9</x:v>
      </x:c>
      <x:c r="E5" s="16" t="n">
        <x:f>IF(COUNTIFS('Long Data'!$A$2:$A$64,E$4,'Long Data'!$C$2:$C$64,$A5)&gt;0,SUMIFS('Long Data'!$D$2:$D$64,'Long Data'!$A$2:$A$64,E$4,'Long Data'!$C$2:$C$64,$A5),"")</x:f>
        <x:v>602.3</x:v>
      </x:c>
      <x:c r="F5" s="16" t="n">
        <x:f>IF(COUNTIFS('Long Data'!$A$2:$A$64,F$4,'Long Data'!$C$2:$C$64,$A5)&gt;0,SUMIFS('Long Data'!$D$2:$D$64,'Long Data'!$A$2:$A$64,F$4,'Long Data'!$C$2:$C$64,$A5),"")</x:f>
        <x:v>3090</x:v>
      </x:c>
      <x:c r="G5" s="16" t="n">
        <x:f>IF(COUNTIFS('Long Data'!$A$2:$A$64,G$4,'Long Data'!$C$2:$C$64,$A5)&gt;0,SUMIFS('Long Data'!$D$2:$D$64,'Long Data'!$A$2:$A$64,G$4,'Long Data'!$C$2:$C$64,$A5),"")</x:f>
        <x:v>4580</x:v>
      </x:c>
      <x:c r="H5" s="19" t="n">
        <x:f>IF(COUNTIFS('Long Data'!$A$2:$A$64,H$4,'Long Data'!$C$2:$C$64,$A5)&gt;0,SUMIFS('Long Data'!$D$2:$D$64,'Long Data'!$A$2:$A$64,H$4,'Long Data'!$C$2:$C$64,$A5),"")</x:f>
        <x:v>3680</x:v>
      </x:c>
    </x:row>
    <x:row r="6" ht="22" customHeight="1">
      <x:c r="A6" s="14" t="str">
        <x:v>Indonesia</x:v>
      </x:c>
      <x:c r="B6" s="16" t="n">
        <x:f>IF(COUNTIFS('Long Data'!$A$2:$A$64,B$4,'Long Data'!$C$2:$C$64,$A6)&gt;0,SUMIFS('Long Data'!$D$2:$D$64,'Long Data'!$A$2:$A$64,B$4,'Long Data'!$C$2:$C$64,$A6),"")</x:f>
        <x:v>3074</x:v>
      </x:c>
      <x:c r="C6" s="16" t="n">
        <x:f>IF(COUNTIFS('Long Data'!$A$2:$A$64,C$4,'Long Data'!$C$2:$C$64,$A6)&gt;0,SUMIFS('Long Data'!$D$2:$D$64,'Long Data'!$A$2:$A$64,C$4,'Long Data'!$C$2:$C$64,$A6),"")</x:f>
        <x:v>562</x:v>
      </x:c>
      <x:c r="D6" s="16" t="n">
        <x:f>IF(COUNTIFS('Long Data'!$A$2:$A$64,D$4,'Long Data'!$C$2:$C$64,$A6)&gt;0,SUMIFS('Long Data'!$D$2:$D$64,'Long Data'!$A$2:$A$64,D$4,'Long Data'!$C$2:$C$64,$A6),"")</x:f>
        <x:v>189.9</x:v>
      </x:c>
      <x:c r="E6" s="16" t="n">
        <x:f>IF(COUNTIFS('Long Data'!$A$2:$A$64,E$4,'Long Data'!$C$2:$C$64,$A6)&gt;0,SUMIFS('Long Data'!$D$2:$D$64,'Long Data'!$A$2:$A$64,E$4,'Long Data'!$C$2:$C$64,$A6),"")</x:f>
        <x:v>1720</x:v>
      </x:c>
      <x:c r="F6" s="16" t="n">
        <x:f>IF(COUNTIFS('Long Data'!$A$2:$A$64,F$4,'Long Data'!$C$2:$C$64,$A6)&gt;0,SUMIFS('Long Data'!$D$2:$D$64,'Long Data'!$A$2:$A$64,F$4,'Long Data'!$C$2:$C$64,$A6),"")</x:f>
        <x:v>2980</x:v>
      </x:c>
      <x:c r="G6" s="16" t="n">
        <x:f>IF(COUNTIFS('Long Data'!$A$2:$A$64,G$4,'Long Data'!$C$2:$C$64,$A6)&gt;0,SUMIFS('Long Data'!$D$2:$D$64,'Long Data'!$A$2:$A$64,G$4,'Long Data'!$C$2:$C$64,$A6),"")</x:f>
        <x:v>2890</x:v>
      </x:c>
      <x:c r="H6" s="19" t="n">
        <x:f>IF(COUNTIFS('Long Data'!$A$2:$A$64,H$4,'Long Data'!$C$2:$C$64,$A6)&gt;0,SUMIFS('Long Data'!$D$2:$D$64,'Long Data'!$A$2:$A$64,H$4,'Long Data'!$C$2:$C$64,$A6),"")</x:f>
        <x:v>2090</x:v>
      </x:c>
    </x:row>
    <x:row r="7" ht="22" customHeight="1">
      <x:c r="A7" s="14" t="str">
        <x:v>Australia</x:v>
      </x:c>
      <x:c r="B7" s="16" t="n">
        <x:f>IF(COUNTIFS('Long Data'!$A$2:$A$64,B$4,'Long Data'!$C$2:$C$64,$A7)&gt;0,SUMIFS('Long Data'!$D$2:$D$64,'Long Data'!$A$2:$A$64,B$4,'Long Data'!$C$2:$C$64,$A7),"")</x:f>
        <x:v>1343</x:v>
      </x:c>
      <x:c r="C7" s="16" t="n">
        <x:f>IF(COUNTIFS('Long Data'!$A$2:$A$64,C$4,'Long Data'!$C$2:$C$64,$A7)&gt;0,SUMIFS('Long Data'!$D$2:$D$64,'Long Data'!$A$2:$A$64,C$4,'Long Data'!$C$2:$C$64,$A7),"")</x:f>
        <x:v>235</x:v>
      </x:c>
      <x:c r="D7" s="16" t="n">
        <x:f>IF(COUNTIFS('Long Data'!$A$2:$A$64,D$4,'Long Data'!$C$2:$C$64,$A7)&gt;0,SUMIFS('Long Data'!$D$2:$D$64,'Long Data'!$A$2:$A$64,D$4,'Long Data'!$C$2:$C$64,$A7),"")</x:f>
        <x:v>51.69</x:v>
      </x:c>
      <x:c r="E7" s="16" t="n">
        <x:f>IF(COUNTIFS('Long Data'!$A$2:$A$64,E$4,'Long Data'!$C$2:$C$64,$A7)&gt;0,SUMIFS('Long Data'!$D$2:$D$64,'Long Data'!$A$2:$A$64,E$4,'Long Data'!$C$2:$C$64,$A7),"")</x:f>
        <x:v>1090</x:v>
      </x:c>
      <x:c r="F7" s="16" t="n">
        <x:f>IF(COUNTIFS('Long Data'!$A$2:$A$64,F$4,'Long Data'!$C$2:$C$64,$A7)&gt;0,SUMIFS('Long Data'!$D$2:$D$64,'Long Data'!$A$2:$A$64,F$4,'Long Data'!$C$2:$C$64,$A7),"")</x:f>
        <x:v>2010</x:v>
      </x:c>
      <x:c r="G7" s="16" t="n">
        <x:f>IF(COUNTIFS('Long Data'!$A$2:$A$64,G$4,'Long Data'!$C$2:$C$64,$A7)&gt;0,SUMIFS('Long Data'!$D$2:$D$64,'Long Data'!$A$2:$A$64,G$4,'Long Data'!$C$2:$C$64,$A7),"")</x:f>
        <x:v>2000</x:v>
      </x:c>
      <x:c r="H7" s="19" t="n">
        <x:f>IF(COUNTIFS('Long Data'!$A$2:$A$64,H$4,'Long Data'!$C$2:$C$64,$A7)&gt;0,SUMIFS('Long Data'!$D$2:$D$64,'Long Data'!$A$2:$A$64,H$4,'Long Data'!$C$2:$C$64,$A7),"")</x:f>
        <x:v>1540</x:v>
      </x:c>
    </x:row>
    <x:row r="8" ht="22" customHeight="1">
      <x:c r="A8" s="14" t="str">
        <x:v>India</x:v>
      </x:c>
      <x:c r="B8" s="16" t="n">
        <x:f>IF(COUNTIFS('Long Data'!$A$2:$A$64,B$4,'Long Data'!$C$2:$C$64,$A8)&gt;0,SUMIFS('Long Data'!$D$2:$D$64,'Long Data'!$A$2:$A$64,B$4,'Long Data'!$C$2:$C$64,$A8),"")</x:f>
        <x:v>1624</x:v>
      </x:c>
      <x:c r="C8" s="16" t="n">
        <x:f>IF(COUNTIFS('Long Data'!$A$2:$A$64,C$4,'Long Data'!$C$2:$C$64,$A8)&gt;0,SUMIFS('Long Data'!$D$2:$D$64,'Long Data'!$A$2:$A$64,C$4,'Long Data'!$C$2:$C$64,$A8),"")</x:f>
        <x:v>291</x:v>
      </x:c>
      <x:c r="D8" s="16" t="n">
        <x:f>IF(COUNTIFS('Long Data'!$A$2:$A$64,D$4,'Long Data'!$C$2:$C$64,$A8)&gt;0,SUMIFS('Long Data'!$D$2:$D$64,'Long Data'!$A$2:$A$64,D$4,'Long Data'!$C$2:$C$64,$A8),"")</x:f>
        <x:v>94.74</x:v>
      </x:c>
      <x:c r="E8" s="16" t="n">
        <x:f>IF(COUNTIFS('Long Data'!$A$2:$A$64,E$4,'Long Data'!$C$2:$C$64,$A8)&gt;0,SUMIFS('Long Data'!$D$2:$D$64,'Long Data'!$A$2:$A$64,E$4,'Long Data'!$C$2:$C$64,$A8),"")</x:f>
        <x:v>1070</x:v>
      </x:c>
      <x:c r="F8" s="16" t="n">
        <x:f>IF(COUNTIFS('Long Data'!$A$2:$A$64,F$4,'Long Data'!$C$2:$C$64,$A8)&gt;0,SUMIFS('Long Data'!$D$2:$D$64,'Long Data'!$A$2:$A$64,F$4,'Long Data'!$C$2:$C$64,$A8),"")</x:f>
        <x:v>1520</x:v>
      </x:c>
      <x:c r="G8" s="16" t="n">
        <x:f>IF(COUNTIFS('Long Data'!$A$2:$A$64,G$4,'Long Data'!$C$2:$C$64,$A8)&gt;0,SUMIFS('Long Data'!$D$2:$D$64,'Long Data'!$A$2:$A$64,G$4,'Long Data'!$C$2:$C$64,$A8),"")</x:f>
        <x:v>1480</x:v>
      </x:c>
      <x:c r="H8" s="19" t="str">
        <x:f>IF(COUNTIFS('Long Data'!$A$2:$A$64,H$4,'Long Data'!$C$2:$C$64,$A8)&gt;0,SUMIFS('Long Data'!$D$2:$D$64,'Long Data'!$A$2:$A$64,H$4,'Long Data'!$C$2:$C$64,$A8),"")</x:f>
      </x:c>
    </x:row>
    <x:row r="9" ht="22" customHeight="1">
      <x:c r="A9" s="14" t="str">
        <x:v>USA</x:v>
      </x:c>
      <x:c r="B9" s="16" t="n">
        <x:f>IF(COUNTIFS('Long Data'!$A$2:$A$64,B$4,'Long Data'!$C$2:$C$64,$A9)&gt;0,SUMIFS('Long Data'!$D$2:$D$64,'Long Data'!$A$2:$A$64,B$4,'Long Data'!$C$2:$C$64,$A9),"")</x:f>
        <x:v>885</x:v>
      </x:c>
      <x:c r="C9" s="16" t="n">
        <x:f>IF(COUNTIFS('Long Data'!$A$2:$A$64,C$4,'Long Data'!$C$2:$C$64,$A9)&gt;0,SUMIFS('Long Data'!$D$2:$D$64,'Long Data'!$A$2:$A$64,C$4,'Long Data'!$C$2:$C$64,$A9),"")</x:f>
        <x:v>149</x:v>
      </x:c>
      <x:c r="D9" s="16" t="n">
        <x:f>IF(COUNTIFS('Long Data'!$A$2:$A$64,D$4,'Long Data'!$C$2:$C$64,$A9)&gt;0,SUMIFS('Long Data'!$D$2:$D$64,'Long Data'!$A$2:$A$64,D$4,'Long Data'!$C$2:$C$64,$A9),"")</x:f>
        <x:v>72.07</x:v>
      </x:c>
      <x:c r="E9" s="16" t="n">
        <x:f>IF(COUNTIFS('Long Data'!$A$2:$A$64,E$4,'Long Data'!$C$2:$C$64,$A9)&gt;0,SUMIFS('Long Data'!$D$2:$D$64,'Long Data'!$A$2:$A$64,E$4,'Long Data'!$C$2:$C$64,$A9),"")</x:f>
        <x:v>909.7</x:v>
      </x:c>
      <x:c r="F9" s="16" t="n">
        <x:f>IF(COUNTIFS('Long Data'!$A$2:$A$64,F$4,'Long Data'!$C$2:$C$64,$A9)&gt;0,SUMIFS('Long Data'!$D$2:$D$64,'Long Data'!$A$2:$A$64,F$4,'Long Data'!$C$2:$C$64,$A9),"")</x:f>
        <x:v>1420</x:v>
      </x:c>
      <x:c r="G9" s="16" t="n">
        <x:f>IF(COUNTIFS('Long Data'!$A$2:$A$64,G$4,'Long Data'!$C$2:$C$64,$A9)&gt;0,SUMIFS('Long Data'!$D$2:$D$64,'Long Data'!$A$2:$A$64,G$4,'Long Data'!$C$2:$C$64,$A9),"")</x:f>
        <x:v>1500</x:v>
      </x:c>
      <x:c r="H9" s="19" t="str">
        <x:f>IF(COUNTIFS('Long Data'!$A$2:$A$64,H$4,'Long Data'!$C$2:$C$64,$A9)&gt;0,SUMIFS('Long Data'!$D$2:$D$64,'Long Data'!$A$2:$A$64,H$4,'Long Data'!$C$2:$C$64,$A9),"")</x:f>
      </x:c>
    </x:row>
    <x:row r="10" ht="22" customHeight="1">
      <x:c r="A10" s="14" t="str">
        <x:v>Japan</x:v>
      </x:c>
      <x:c r="B10" s="16" t="n">
        <x:f>IF(COUNTIFS('Long Data'!$A$2:$A$64,B$4,'Long Data'!$C$2:$C$64,$A10)&gt;0,SUMIFS('Long Data'!$D$2:$D$64,'Long Data'!$A$2:$A$64,B$4,'Long Data'!$C$2:$C$64,$A10),"")</x:f>
        <x:v>1162</x:v>
      </x:c>
      <x:c r="C10" s="16" t="n">
        <x:f>IF(COUNTIFS('Long Data'!$A$2:$A$64,C$4,'Long Data'!$C$2:$C$64,$A10)&gt;0,SUMIFS('Long Data'!$D$2:$D$64,'Long Data'!$A$2:$A$64,C$4,'Long Data'!$C$2:$C$64,$A10),"")</x:f>
        <x:v>178</x:v>
      </x:c>
      <x:c r="D10" s="16" t="n">
        <x:f>IF(COUNTIFS('Long Data'!$A$2:$A$64,D$4,'Long Data'!$C$2:$C$64,$A10)&gt;0,SUMIFS('Long Data'!$D$2:$D$64,'Long Data'!$A$2:$A$64,D$4,'Long Data'!$C$2:$C$64,$A10),"")</x:f>
        <x:v>38.3</x:v>
      </x:c>
      <x:c r="E10" s="16" t="str">
        <x:f>IF(COUNTIFS('Long Data'!$A$2:$A$64,E$4,'Long Data'!$C$2:$C$64,$A10)&gt;0,SUMIFS('Long Data'!$D$2:$D$64,'Long Data'!$A$2:$A$64,E$4,'Long Data'!$C$2:$C$64,$A10),"")</x:f>
      </x:c>
      <x:c r="F10" s="16" t="n">
        <x:f>IF(COUNTIFS('Long Data'!$A$2:$A$64,F$4,'Long Data'!$C$2:$C$64,$A10)&gt;0,SUMIFS('Long Data'!$D$2:$D$64,'Long Data'!$A$2:$A$64,F$4,'Long Data'!$C$2:$C$64,$A10),"")</x:f>
        <x:v>753</x:v>
      </x:c>
      <x:c r="G10" s="16" t="n">
        <x:f>IF(COUNTIFS('Long Data'!$A$2:$A$64,G$4,'Long Data'!$C$2:$C$64,$A10)&gt;0,SUMIFS('Long Data'!$D$2:$D$64,'Long Data'!$A$2:$A$64,G$4,'Long Data'!$C$2:$C$64,$A10),"")</x:f>
        <x:v>949</x:v>
      </x:c>
      <x:c r="H10" s="19" t="str">
        <x:f>IF(COUNTIFS('Long Data'!$A$2:$A$64,H$4,'Long Data'!$C$2:$C$64,$A10)&gt;0,SUMIFS('Long Data'!$D$2:$D$64,'Long Data'!$A$2:$A$64,H$4,'Long Data'!$C$2:$C$64,$A10),"")</x:f>
      </x:c>
    </x:row>
    <x:row r="11" ht="22" customHeight="1">
      <x:c r="A11" s="14" t="str">
        <x:v>Malaysia</x:v>
      </x:c>
      <x:c r="B11" s="16" t="n">
        <x:f>IF(COUNTIFS('Long Data'!$A$2:$A$64,B$4,'Long Data'!$C$2:$C$64,$A11)&gt;0,SUMIFS('Long Data'!$D$2:$D$64,'Long Data'!$A$2:$A$64,B$4,'Long Data'!$C$2:$C$64,$A11),"")</x:f>
        <x:v>733</x:v>
      </x:c>
      <x:c r="C11" s="16" t="n">
        <x:f>IF(COUNTIFS('Long Data'!$A$2:$A$64,C$4,'Long Data'!$C$2:$C$64,$A11)&gt;0,SUMIFS('Long Data'!$D$2:$D$64,'Long Data'!$A$2:$A$64,C$4,'Long Data'!$C$2:$C$64,$A11),"")</x:f>
        <x:v>135</x:v>
      </x:c>
      <x:c r="D11" s="16" t="n">
        <x:f>IF(COUNTIFS('Long Data'!$A$2:$A$64,D$4,'Long Data'!$C$2:$C$64,$A11)&gt;0,SUMIFS('Long Data'!$D$2:$D$64,'Long Data'!$A$2:$A$64,D$4,'Long Data'!$C$2:$C$64,$A11),"")</x:f>
        <x:v>68.47</x:v>
      </x:c>
      <x:c r="E11" s="16" t="n">
        <x:f>IF(COUNTIFS('Long Data'!$A$2:$A$64,E$4,'Long Data'!$C$2:$C$64,$A11)&gt;0,SUMIFS('Long Data'!$D$2:$D$64,'Long Data'!$A$2:$A$64,E$4,'Long Data'!$C$2:$C$64,$A11),"")</x:f>
        <x:v>623.4</x:v>
      </x:c>
      <x:c r="F11" s="16" t="n">
        <x:f>IF(COUNTIFS('Long Data'!$A$2:$A$64,F$4,'Long Data'!$C$2:$C$64,$A11)&gt;0,SUMIFS('Long Data'!$D$2:$D$64,'Long Data'!$A$2:$A$64,F$4,'Long Data'!$C$2:$C$64,$A11),"")</x:f>
        <x:v>903</x:v>
      </x:c>
      <x:c r="G11" s="16" t="n">
        <x:f>IF(COUNTIFS('Long Data'!$A$2:$A$64,G$4,'Long Data'!$C$2:$C$64,$A11)&gt;0,SUMIFS('Long Data'!$D$2:$D$64,'Long Data'!$A$2:$A$64,G$4,'Long Data'!$C$2:$C$64,$A11),"")</x:f>
        <x:v>903</x:v>
      </x:c>
      <x:c r="H11" s="19" t="str">
        <x:f>IF(COUNTIFS('Long Data'!$A$2:$A$64,H$4,'Long Data'!$C$2:$C$64,$A11)&gt;0,SUMIFS('Long Data'!$D$2:$D$64,'Long Data'!$A$2:$A$64,H$4,'Long Data'!$C$2:$C$64,$A11),"")</x:f>
      </x:c>
    </x:row>
    <x:row r="12" ht="22" customHeight="1">
      <x:c r="A12" s="14" t="str">
        <x:v>UK</x:v>
      </x:c>
      <x:c r="B12" s="16" t="str">
        <x:f>IF(COUNTIFS('Long Data'!$A$2:$A$64,B$4,'Long Data'!$C$2:$C$64,$A12)&gt;0,SUMIFS('Long Data'!$D$2:$D$64,'Long Data'!$A$2:$A$64,B$4,'Long Data'!$C$2:$C$64,$A12),"")</x:f>
      </x:c>
      <x:c r="C12" s="16" t="n">
        <x:f>IF(COUNTIFS('Long Data'!$A$2:$A$64,C$4,'Long Data'!$C$2:$C$64,$A12)&gt;0,SUMIFS('Long Data'!$D$2:$D$64,'Long Data'!$A$2:$A$64,C$4,'Long Data'!$C$2:$C$64,$A12),"")</x:f>
        <x:v>138</x:v>
      </x:c>
      <x:c r="D12" s="16" t="str">
        <x:f>IF(COUNTIFS('Long Data'!$A$2:$A$64,D$4,'Long Data'!$C$2:$C$64,$A12)&gt;0,SUMIFS('Long Data'!$D$2:$D$64,'Long Data'!$A$2:$A$64,D$4,'Long Data'!$C$2:$C$64,$A12),"")</x:f>
      </x:c>
      <x:c r="E12" s="16" t="n">
        <x:f>IF(COUNTIFS('Long Data'!$A$2:$A$64,E$4,'Long Data'!$C$2:$C$64,$A12)&gt;0,SUMIFS('Long Data'!$D$2:$D$64,'Long Data'!$A$2:$A$64,E$4,'Long Data'!$C$2:$C$64,$A12),"")</x:f>
        <x:v>542.4</x:v>
      </x:c>
      <x:c r="F12" s="16" t="n">
        <x:f>IF(COUNTIFS('Long Data'!$A$2:$A$64,F$4,'Long Data'!$C$2:$C$64,$A12)&gt;0,SUMIFS('Long Data'!$D$2:$D$64,'Long Data'!$A$2:$A$64,F$4,'Long Data'!$C$2:$C$64,$A12),"")</x:f>
        <x:v>860</x:v>
      </x:c>
      <x:c r="G12" s="16" t="n">
        <x:f>IF(COUNTIFS('Long Data'!$A$2:$A$64,G$4,'Long Data'!$C$2:$C$64,$A12)&gt;0,SUMIFS('Long Data'!$D$2:$D$64,'Long Data'!$A$2:$A$64,G$4,'Long Data'!$C$2:$C$64,$A12),"")</x:f>
        <x:v>915</x:v>
      </x:c>
      <x:c r="H12" s="19" t="str">
        <x:f>IF(COUNTIFS('Long Data'!$A$2:$A$64,H$4,'Long Data'!$C$2:$C$64,$A12)&gt;0,SUMIFS('Long Data'!$D$2:$D$64,'Long Data'!$A$2:$A$64,H$4,'Long Data'!$C$2:$C$64,$A12),"")</x:f>
      </x:c>
    </x:row>
    <x:row r="13" ht="22" customHeight="1">
      <x:c r="A13" s="14" t="str">
        <x:v>Philippines</x:v>
      </x:c>
      <x:c r="B13" s="16" t="n">
        <x:f>IF(COUNTIFS('Long Data'!$A$2:$A$64,B$4,'Long Data'!$C$2:$C$64,$A13)&gt;0,SUMIFS('Long Data'!$D$2:$D$64,'Long Data'!$A$2:$A$64,B$4,'Long Data'!$C$2:$C$64,$A13),"")</x:f>
        <x:v>721</x:v>
      </x:c>
      <x:c r="C13" s="16" t="n">
        <x:f>IF(COUNTIFS('Long Data'!$A$2:$A$64,C$4,'Long Data'!$C$2:$C$64,$A13)&gt;0,SUMIFS('Long Data'!$D$2:$D$64,'Long Data'!$A$2:$A$64,C$4,'Long Data'!$C$2:$C$64,$A13),"")</x:f>
        <x:v>125</x:v>
      </x:c>
      <x:c r="D13" s="16" t="str">
        <x:f>IF(COUNTIFS('Long Data'!$A$2:$A$64,D$4,'Long Data'!$C$2:$C$64,$A13)&gt;0,SUMIFS('Long Data'!$D$2:$D$64,'Long Data'!$A$2:$A$64,D$4,'Long Data'!$C$2:$C$64,$A13),"")</x:f>
      </x:c>
      <x:c r="E13" s="16" t="n">
        <x:f>IF(COUNTIFS('Long Data'!$A$2:$A$64,E$4,'Long Data'!$C$2:$C$64,$A13)&gt;0,SUMIFS('Long Data'!$D$2:$D$64,'Long Data'!$A$2:$A$64,E$4,'Long Data'!$C$2:$C$64,$A13),"")</x:f>
        <x:v>499.5</x:v>
      </x:c>
      <x:c r="F13" s="16" t="n">
        <x:f>IF(COUNTIFS('Long Data'!$A$2:$A$64,F$4,'Long Data'!$C$2:$C$64,$A13)&gt;0,SUMIFS('Long Data'!$D$2:$D$64,'Long Data'!$A$2:$A$64,F$4,'Long Data'!$C$2:$C$64,$A13),"")</x:f>
        <x:v>827</x:v>
      </x:c>
      <x:c r="G13" s="16" t="n">
        <x:f>IF(COUNTIFS('Long Data'!$A$2:$A$64,G$4,'Long Data'!$C$2:$C$64,$A13)&gt;0,SUMIFS('Long Data'!$D$2:$D$64,'Long Data'!$A$2:$A$64,G$4,'Long Data'!$C$2:$C$64,$A13),"")</x:f>
        <x:v>836</x:v>
      </x:c>
      <x:c r="H13" s="19" t="str">
        <x:f>IF(COUNTIFS('Long Data'!$A$2:$A$64,H$4,'Long Data'!$C$2:$C$64,$A13)&gt;0,SUMIFS('Long Data'!$D$2:$D$64,'Long Data'!$A$2:$A$64,H$4,'Long Data'!$C$2:$C$64,$A13),"")</x:f>
      </x:c>
    </x:row>
    <x:row r="14" ht="22" customHeight="1">
      <x:c r="A14" s="14" t="str">
        <x:v>South Korea</x:v>
      </x:c>
      <x:c r="B14" s="16" t="n">
        <x:f>IF(COUNTIFS('Long Data'!$A$2:$A$64,B$4,'Long Data'!$C$2:$C$64,$A14)&gt;0,SUMIFS('Long Data'!$D$2:$D$64,'Long Data'!$A$2:$A$64,B$4,'Long Data'!$C$2:$C$64,$A14),"")</x:f>
        <x:v>675</x:v>
      </x:c>
      <x:c r="C14" s="16" t="str">
        <x:f>IF(COUNTIFS('Long Data'!$A$2:$A$64,C$4,'Long Data'!$C$2:$C$64,$A14)&gt;0,SUMIFS('Long Data'!$D$2:$D$64,'Long Data'!$A$2:$A$64,C$4,'Long Data'!$C$2:$C$64,$A14),"")</x:f>
      </x:c>
      <x:c r="D14" s="16" t="n">
        <x:f>IF(COUNTIFS('Long Data'!$A$2:$A$64,D$4,'Long Data'!$C$2:$C$64,$A14)&gt;0,SUMIFS('Long Data'!$D$2:$D$64,'Long Data'!$A$2:$A$64,D$4,'Long Data'!$C$2:$C$64,$A14),"")</x:f>
        <x:v>41.95</x:v>
      </x:c>
      <x:c r="E14" s="16" t="str">
        <x:f>IF(COUNTIFS('Long Data'!$A$2:$A$64,E$4,'Long Data'!$C$2:$C$64,$A14)&gt;0,SUMIFS('Long Data'!$D$2:$D$64,'Long Data'!$A$2:$A$64,E$4,'Long Data'!$C$2:$C$64,$A14),"")</x:f>
      </x:c>
      <x:c r="F14" s="16" t="n">
        <x:f>IF(COUNTIFS('Long Data'!$A$2:$A$64,F$4,'Long Data'!$C$2:$C$64,$A14)&gt;0,SUMIFS('Long Data'!$D$2:$D$64,'Long Data'!$A$2:$A$64,F$4,'Long Data'!$C$2:$C$64,$A14),"")</x:f>
        <x:v>701</x:v>
      </x:c>
      <x:c r="G14" s="16" t="n">
        <x:f>IF(COUNTIFS('Long Data'!$A$2:$A$64,G$4,'Long Data'!$C$2:$C$64,$A14)&gt;0,SUMIFS('Long Data'!$D$2:$D$64,'Long Data'!$A$2:$A$64,G$4,'Long Data'!$C$2:$C$64,$A14),"")</x:f>
        <x:v>653</x:v>
      </x:c>
      <x:c r="H14" s="19" t="str">
        <x:f>IF(COUNTIFS('Long Data'!$A$2:$A$64,H$4,'Long Data'!$C$2:$C$64,$A14)&gt;0,SUMIFS('Long Data'!$D$2:$D$64,'Long Data'!$A$2:$A$64,H$4,'Long Data'!$C$2:$C$64,$A14),"")</x:f>
      </x:c>
    </x:row>
    <x:row r="15" ht="22" customHeight="1">
      <x:c r="A15" s="14" t="str">
        <x:v>Vietnam</x:v>
      </x:c>
      <x:c r="B15" s="16" t="n">
        <x:f>IF(COUNTIFS('Long Data'!$A$2:$A$64,B$4,'Long Data'!$C$2:$C$64,$A15)&gt;0,SUMIFS('Long Data'!$D$2:$D$64,'Long Data'!$A$2:$A$64,B$4,'Long Data'!$C$2:$C$64,$A15),"")</x:f>
        <x:v>668</x:v>
      </x:c>
      <x:c r="C15" s="16" t="n">
        <x:f>IF(COUNTIFS('Long Data'!$A$2:$A$64,C$4,'Long Data'!$C$2:$C$64,$A15)&gt;0,SUMIFS('Long Data'!$D$2:$D$64,'Long Data'!$A$2:$A$64,C$4,'Long Data'!$C$2:$C$64,$A15),"")</x:f>
        <x:v>133</x:v>
      </x:c>
      <x:c r="D15" s="16" t="n">
        <x:f>IF(COUNTIFS('Long Data'!$A$2:$A$64,D$4,'Long Data'!$C$2:$C$64,$A15)&gt;0,SUMIFS('Long Data'!$D$2:$D$64,'Long Data'!$A$2:$A$64,D$4,'Long Data'!$C$2:$C$64,$A15),"")</x:f>
        <x:v>39.63</x:v>
      </x:c>
      <x:c r="E15" s="16" t="n">
        <x:f>IF(COUNTIFS('Long Data'!$A$2:$A$64,E$4,'Long Data'!$C$2:$C$64,$A15)&gt;0,SUMIFS('Long Data'!$D$2:$D$64,'Long Data'!$A$2:$A$64,E$4,'Long Data'!$C$2:$C$64,$A15),"")</x:f>
        <x:v>431.8</x:v>
      </x:c>
      <x:c r="F15" s="16" t="str">
        <x:f>IF(COUNTIFS('Long Data'!$A$2:$A$64,F$4,'Long Data'!$C$2:$C$64,$A15)&gt;0,SUMIFS('Long Data'!$D$2:$D$64,'Long Data'!$A$2:$A$64,F$4,'Long Data'!$C$2:$C$64,$A15),"")</x:f>
      </x:c>
      <x:c r="G15" s="16" t="str">
        <x:f>IF(COUNTIFS('Long Data'!$A$2:$A$64,G$4,'Long Data'!$C$2:$C$64,$A15)&gt;0,SUMIFS('Long Data'!$D$2:$D$64,'Long Data'!$A$2:$A$64,G$4,'Long Data'!$C$2:$C$64,$A15),"")</x:f>
      </x:c>
      <x:c r="H15" s="19" t="str">
        <x:f>IF(COUNTIFS('Long Data'!$A$2:$A$64,H$4,'Long Data'!$C$2:$C$64,$A15)&gt;0,SUMIFS('Long Data'!$D$2:$D$64,'Long Data'!$A$2:$A$64,H$4,'Long Data'!$C$2:$C$64,$A15),"")</x:f>
      </x:c>
    </x:row>
    <x:row r="16" ht="22" customHeight="1">
      <x:c r="A16" s="14" t="str">
        <x:v>Hong Kong SAR</x:v>
      </x:c>
      <x:c r="B16" s="16" t="str">
        <x:f>IF(COUNTIFS('Long Data'!$A$2:$A$64,B$4,'Long Data'!$C$2:$C$64,$A16)&gt;0,SUMIFS('Long Data'!$D$2:$D$64,'Long Data'!$A$2:$A$64,B$4,'Long Data'!$C$2:$C$64,$A16),"")</x:f>
      </x:c>
      <x:c r="C16" s="16" t="str">
        <x:f>IF(COUNTIFS('Long Data'!$A$2:$A$64,C$4,'Long Data'!$C$2:$C$64,$A16)&gt;0,SUMIFS('Long Data'!$D$2:$D$64,'Long Data'!$A$2:$A$64,C$4,'Long Data'!$C$2:$C$64,$A16),"")</x:f>
      </x:c>
      <x:c r="D16" s="16" t="n">
        <x:f>IF(COUNTIFS('Long Data'!$A$2:$A$64,D$4,'Long Data'!$C$2:$C$64,$A16)&gt;0,SUMIFS('Long Data'!$D$2:$D$64,'Long Data'!$A$2:$A$64,D$4,'Long Data'!$C$2:$C$64,$A16),"")</x:f>
        <x:v>46.12</x:v>
      </x:c>
      <x:c r="E16" s="16" t="str">
        <x:f>IF(COUNTIFS('Long Data'!$A$2:$A$64,E$4,'Long Data'!$C$2:$C$64,$A16)&gt;0,SUMIFS('Long Data'!$D$2:$D$64,'Long Data'!$A$2:$A$64,E$4,'Long Data'!$C$2:$C$64,$A16),"")</x:f>
      </x:c>
      <x:c r="F16" s="16" t="str">
        <x:f>IF(COUNTIFS('Long Data'!$A$2:$A$64,F$4,'Long Data'!$C$2:$C$64,$A16)&gt;0,SUMIFS('Long Data'!$D$2:$D$64,'Long Data'!$A$2:$A$64,F$4,'Long Data'!$C$2:$C$64,$A16),"")</x:f>
      </x:c>
      <x:c r="G16" s="16" t="str">
        <x:f>IF(COUNTIFS('Long Data'!$A$2:$A$64,G$4,'Long Data'!$C$2:$C$64,$A16)&gt;0,SUMIFS('Long Data'!$D$2:$D$64,'Long Data'!$A$2:$A$64,G$4,'Long Data'!$C$2:$C$64,$A16),"")</x:f>
      </x:c>
      <x:c r="H16" s="19" t="str">
        <x:f>IF(COUNTIFS('Long Data'!$A$2:$A$64,H$4,'Long Data'!$C$2:$C$64,$A16)&gt;0,SUMIFS('Long Data'!$D$2:$D$64,'Long Data'!$A$2:$A$64,H$4,'Long Data'!$C$2:$C$64,$A16),"")</x:f>
      </x:c>
    </x:row>
    <x:row r="17" ht="22" customHeight="1">
      <x:c r="A17" s="14" t="str">
        <x:v>Thailand</x:v>
      </x:c>
      <x:c r="B17" s="16" t="str">
        <x:f>IF(COUNTIFS('Long Data'!$A$2:$A$64,B$4,'Long Data'!$C$2:$C$64,$A17)&gt;0,SUMIFS('Long Data'!$D$2:$D$64,'Long Data'!$A$2:$A$64,B$4,'Long Data'!$C$2:$C$64,$A17),"")</x:f>
      </x:c>
      <x:c r="C17" s="16" t="str">
        <x:f>IF(COUNTIFS('Long Data'!$A$2:$A$64,C$4,'Long Data'!$C$2:$C$64,$A17)&gt;0,SUMIFS('Long Data'!$D$2:$D$64,'Long Data'!$A$2:$A$64,C$4,'Long Data'!$C$2:$C$64,$A17),"")</x:f>
      </x:c>
      <x:c r="D17" s="16" t="str">
        <x:f>IF(COUNTIFS('Long Data'!$A$2:$A$64,D$4,'Long Data'!$C$2:$C$64,$A17)&gt;0,SUMIFS('Long Data'!$D$2:$D$64,'Long Data'!$A$2:$A$64,D$4,'Long Data'!$C$2:$C$64,$A17),"")</x:f>
      </x:c>
      <x:c r="E17" s="16" t="n">
        <x:f>IF(COUNTIFS('Long Data'!$A$2:$A$64,E$4,'Long Data'!$C$2:$C$64,$A17)&gt;0,SUMIFS('Long Data'!$D$2:$D$64,'Long Data'!$A$2:$A$64,E$4,'Long Data'!$C$2:$C$64,$A17),"")</x:f>
        <x:v>415.1</x:v>
      </x:c>
      <x:c r="F17" s="16" t="str">
        <x:f>IF(COUNTIFS('Long Data'!$A$2:$A$64,F$4,'Long Data'!$C$2:$C$64,$A17)&gt;0,SUMIFS('Long Data'!$D$2:$D$64,'Long Data'!$A$2:$A$64,F$4,'Long Data'!$C$2:$C$64,$A17),"")</x:f>
      </x:c>
      <x:c r="G17" s="16" t="str">
        <x:f>IF(COUNTIFS('Long Data'!$A$2:$A$64,G$4,'Long Data'!$C$2:$C$64,$A17)&gt;0,SUMIFS('Long Data'!$D$2:$D$64,'Long Data'!$A$2:$A$64,G$4,'Long Data'!$C$2:$C$64,$A17),"")</x:f>
      </x:c>
      <x:c r="H17" s="19" t="str">
        <x:f>IF(COUNTIFS('Long Data'!$A$2:$A$64,H$4,'Long Data'!$C$2:$C$64,$A17)&gt;0,SUMIFS('Long Data'!$D$2:$D$64,'Long Data'!$A$2:$A$64,H$4,'Long Data'!$C$2:$C$64,$A17),"")</x:f>
      </x:c>
    </x:row>
  </x:sheetData>
  <x:mergeCells>
    <x:mergeCell ref="A1:H1"/>
    <x:mergeCell ref="A2:H2"/>
  </x:mergeCells>
  <x:conditionalFormatting sqref="B5:H17">
    <x:cfRule type="colorScale" priority="1">
      <x:colorScale>
        <x:cfvo type="min"/>
        <x:cfvo type="percentile" val="50"/>
        <x:cfvo type="max"/>
        <x:color rgb="FFEDF7F6"/>
        <x:color rgb="FF9FD5CF"/>
        <x:color rgb="FF007C7A"/>
      </x:colorScale>
    </x:cfRule>
  </x:conditionalFormatting>
  <x:pageMargins left="0.7" right="0.7" top="0.75" bottom="0.75" header="0.3" footer="0.3"/>
  <x:legacyDrawing xmlns:r="http://schemas.openxmlformats.org/officeDocument/2006/relationships" r:id="R94f658727a514ad0"/>
  <x:tableParts count="1">
    <x:tablePart xmlns:r="http://schemas.openxmlformats.org/officeDocument/2006/relationships" r:id="R30dc9486bcd44c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21" hidden="0" customWidth="1"/>
    <x:col min="4" max="4" width="20" hidden="0" customWidth="1"/>
    <x:col min="5" max="5" width="14" hidden="0" customWidth="1"/>
    <x:col min="6" max="6" width="42" hidden="0" customWidth="1"/>
    <x:col min="7" max="7" width="38" hidden="0" customWidth="1"/>
    <x:col min="8" max="8" width="13" hidden="0" customWidth="1"/>
    <x:col min="9" max="9" width="56" hidden="0" customWidth="1"/>
    <x:col min="10" max="10" width="62" hidden="0" customWidth="1"/>
  </x:cols>
  <x:sheetData>
    <x:row r="1" ht="34" customHeight="1">
      <x:c r="A1" s="21" t="str">
        <x:v>Year</x:v>
      </x:c>
      <x:c r="B1" s="21" t="str">
        <x:v>Coverage</x:v>
      </x:c>
      <x:c r="C1" s="21" t="str">
        <x:v>Place of residence</x:v>
      </x:c>
      <x:c r="D1" s="21" t="str">
        <x:v>Receipts (S$m, ex-SEG)</x:v>
      </x:c>
      <x:c r="E1" s="21" t="str">
        <x:v>Published rank</x:v>
      </x:c>
      <x:c r="F1" s="21" t="str">
        <x:v>Disclosure basis</x:v>
      </x:c>
      <x:c r="G1" s="21" t="str">
        <x:v>Source report</x:v>
      </x:c>
      <x:c r="H1" s="21" t="str">
        <x:v>Source page</x:v>
      </x:c>
      <x:c r="I1" s="21" t="str">
        <x:v>Source URL</x:v>
      </x:c>
      <x:c r="J1" s="21" t="str">
        <x:v>Quality note</x:v>
      </x:c>
    </x:row>
    <x:row r="2" ht="32" customHeight="1">
      <x:c r="A2" s="22" t="n">
        <x:v>2019</x:v>
      </x:c>
      <x:c r="B2" t="str">
        <x:v>Jan-Dec 2019</x:v>
      </x:c>
      <x:c r="C2" t="str">
        <x:v>Mainland China</x:v>
      </x:c>
      <x:c r="D2" s="15" t="n">
        <x:v>4124</x:v>
      </x:c>
      <x:c r="E2" s="22" t="n">
        <x:v>1</x:v>
      </x:c>
      <x:c r="F2" s="23" t="str">
        <x:v>Country/place-of-residence receipts exclude Sightseeing, Entertainment &amp; Gaming (SEG)</x:v>
      </x:c>
      <x:c r="G2" s="23" t="str">
        <x:v>STB Annual Report 2019-2020</x:v>
      </x:c>
      <x:c r="H2" s="23" t="n">
        <x:v>28</x:v>
      </x:c>
      <x:c r="I2" s="23" t="str">
        <x:v>https://file.go.gov.sg/stb-ar-19-20.pdf</x:v>
      </x:c>
      <x:c r="J2" s="23" t="str"/>
    </x:row>
    <x:row r="3" ht="48" customHeight="1">
      <x:c r="A3" s="22" t="n">
        <x:v>2019</x:v>
      </x:c>
      <x:c r="B3" t="str">
        <x:v>Jan-Dec 2019</x:v>
      </x:c>
      <x:c r="C3" t="str">
        <x:v>Indonesia</x:v>
      </x:c>
      <x:c r="D3" s="15" t="n">
        <x:v>3074</x:v>
      </x:c>
      <x:c r="E3" s="22" t="n">
        <x:v>2</x:v>
      </x:c>
      <x:c r="F3" s="23" t="str">
        <x:v>Country/place-of-residence receipts exclude Sightseeing, Entertainment &amp; Gaming (SEG)</x:v>
      </x:c>
      <x:c r="G3" s="23" t="str">
        <x:v>STB Annual Report 2019-2020</x:v>
      </x:c>
      <x:c r="H3" s="23" t="n">
        <x:v>28</x:v>
      </x:c>
      <x:c r="I3" s="23" t="str">
        <x:v>https://file.go.gov.sg/stb-ar-19-20.pdf</x:v>
      </x:c>
      <x:c r="J3" s="23" t="str">
        <x:v>Used S$3,074m: report narrative states 3,074, while the graphic prints 3,704. The narrative value reconciles the stated ~41% top-three share and the subsequent 2020 change.</x:v>
      </x:c>
    </x:row>
    <x:row r="4" ht="32" customHeight="1">
      <x:c r="A4" s="22" t="n">
        <x:v>2019</x:v>
      </x:c>
      <x:c r="B4" t="str">
        <x:v>Jan-Dec 2019</x:v>
      </x:c>
      <x:c r="C4" t="str">
        <x:v>India</x:v>
      </x:c>
      <x:c r="D4" s="15" t="n">
        <x:v>1624</x:v>
      </x:c>
      <x:c r="E4" s="22" t="n">
        <x:v>3</x:v>
      </x:c>
      <x:c r="F4" s="23" t="str">
        <x:v>Country/place-of-residence receipts exclude Sightseeing, Entertainment &amp; Gaming (SEG)</x:v>
      </x:c>
      <x:c r="G4" s="23" t="str">
        <x:v>STB Annual Report 2019-2020</x:v>
      </x:c>
      <x:c r="H4" s="23" t="n">
        <x:v>28</x:v>
      </x:c>
      <x:c r="I4" s="23" t="str">
        <x:v>https://file.go.gov.sg/stb-ar-19-20.pdf</x:v>
      </x:c>
      <x:c r="J4" s="23" t="str"/>
    </x:row>
    <x:row r="5" ht="32" customHeight="1">
      <x:c r="A5" s="22" t="n">
        <x:v>2019</x:v>
      </x:c>
      <x:c r="B5" t="str">
        <x:v>Jan-Dec 2019</x:v>
      </x:c>
      <x:c r="C5" t="str">
        <x:v>Australia</x:v>
      </x:c>
      <x:c r="D5" s="15" t="n">
        <x:v>1343</x:v>
      </x:c>
      <x:c r="E5" s="22" t="n">
        <x:v>4</x:v>
      </x:c>
      <x:c r="F5" s="23" t="str">
        <x:v>Country/place-of-residence receipts exclude Sightseeing, Entertainment &amp; Gaming (SEG)</x:v>
      </x:c>
      <x:c r="G5" s="23" t="str">
        <x:v>STB Annual Report 2019-2020</x:v>
      </x:c>
      <x:c r="H5" s="23" t="n">
        <x:v>28</x:v>
      </x:c>
      <x:c r="I5" s="23" t="str">
        <x:v>https://file.go.gov.sg/stb-ar-19-20.pdf</x:v>
      </x:c>
      <x:c r="J5" s="23" t="str"/>
    </x:row>
    <x:row r="6" ht="32" customHeight="1">
      <x:c r="A6" s="22" t="n">
        <x:v>2019</x:v>
      </x:c>
      <x:c r="B6" t="str">
        <x:v>Jan-Dec 2019</x:v>
      </x:c>
      <x:c r="C6" t="str">
        <x:v>Japan</x:v>
      </x:c>
      <x:c r="D6" s="15" t="n">
        <x:v>1162</x:v>
      </x:c>
      <x:c r="E6" s="22" t="n">
        <x:v>5</x:v>
      </x:c>
      <x:c r="F6" s="23" t="str">
        <x:v>Country/place-of-residence receipts exclude Sightseeing, Entertainment &amp; Gaming (SEG)</x:v>
      </x:c>
      <x:c r="G6" s="23" t="str">
        <x:v>STB Annual Report 2019-2020</x:v>
      </x:c>
      <x:c r="H6" s="23" t="n">
        <x:v>28</x:v>
      </x:c>
      <x:c r="I6" s="23" t="str">
        <x:v>https://file.go.gov.sg/stb-ar-19-20.pdf</x:v>
      </x:c>
      <x:c r="J6" s="23" t="str"/>
    </x:row>
    <x:row r="7" ht="32" customHeight="1">
      <x:c r="A7" s="22" t="n">
        <x:v>2019</x:v>
      </x:c>
      <x:c r="B7" t="str">
        <x:v>Jan-Dec 2019</x:v>
      </x:c>
      <x:c r="C7" t="str">
        <x:v>USA</x:v>
      </x:c>
      <x:c r="D7" s="15" t="n">
        <x:v>885</x:v>
      </x:c>
      <x:c r="E7" s="22" t="n">
        <x:v>6</x:v>
      </x:c>
      <x:c r="F7" s="23" t="str">
        <x:v>Country/place-of-residence receipts exclude Sightseeing, Entertainment &amp; Gaming (SEG)</x:v>
      </x:c>
      <x:c r="G7" s="23" t="str">
        <x:v>STB Annual Report 2019-2020</x:v>
      </x:c>
      <x:c r="H7" s="23" t="n">
        <x:v>28</x:v>
      </x:c>
      <x:c r="I7" s="23" t="str">
        <x:v>https://file.go.gov.sg/stb-ar-19-20.pdf</x:v>
      </x:c>
      <x:c r="J7" s="23" t="str"/>
    </x:row>
    <x:row r="8" ht="32" customHeight="1">
      <x:c r="A8" s="22" t="n">
        <x:v>2019</x:v>
      </x:c>
      <x:c r="B8" t="str">
        <x:v>Jan-Dec 2019</x:v>
      </x:c>
      <x:c r="C8" t="str">
        <x:v>Malaysia</x:v>
      </x:c>
      <x:c r="D8" s="15" t="n">
        <x:v>733</x:v>
      </x:c>
      <x:c r="E8" s="22" t="n">
        <x:v>7</x:v>
      </x:c>
      <x:c r="F8" s="23" t="str">
        <x:v>Country/place-of-residence receipts exclude Sightseeing, Entertainment &amp; Gaming (SEG)</x:v>
      </x:c>
      <x:c r="G8" s="23" t="str">
        <x:v>STB Annual Report 2019-2020</x:v>
      </x:c>
      <x:c r="H8" s="23" t="n">
        <x:v>28</x:v>
      </x:c>
      <x:c r="I8" s="23" t="str">
        <x:v>https://file.go.gov.sg/stb-ar-19-20.pdf</x:v>
      </x:c>
      <x:c r="J8" s="23" t="str"/>
    </x:row>
    <x:row r="9" ht="32" customHeight="1">
      <x:c r="A9" s="22" t="n">
        <x:v>2019</x:v>
      </x:c>
      <x:c r="B9" t="str">
        <x:v>Jan-Dec 2019</x:v>
      </x:c>
      <x:c r="C9" t="str">
        <x:v>Philippines</x:v>
      </x:c>
      <x:c r="D9" s="15" t="n">
        <x:v>721</x:v>
      </x:c>
      <x:c r="E9" s="22" t="n">
        <x:v>8</x:v>
      </x:c>
      <x:c r="F9" s="23" t="str">
        <x:v>Country/place-of-residence receipts exclude Sightseeing, Entertainment &amp; Gaming (SEG)</x:v>
      </x:c>
      <x:c r="G9" s="23" t="str">
        <x:v>STB Annual Report 2019-2020</x:v>
      </x:c>
      <x:c r="H9" s="23" t="n">
        <x:v>28</x:v>
      </x:c>
      <x:c r="I9" s="23" t="str">
        <x:v>https://file.go.gov.sg/stb-ar-19-20.pdf</x:v>
      </x:c>
      <x:c r="J9" s="23" t="str"/>
    </x:row>
    <x:row r="10" ht="32" customHeight="1">
      <x:c r="A10" s="22" t="n">
        <x:v>2019</x:v>
      </x:c>
      <x:c r="B10" t="str">
        <x:v>Jan-Dec 2019</x:v>
      </x:c>
      <x:c r="C10" t="str">
        <x:v>South Korea</x:v>
      </x:c>
      <x:c r="D10" s="15" t="n">
        <x:v>675</x:v>
      </x:c>
      <x:c r="E10" s="22" t="n">
        <x:v>9</x:v>
      </x:c>
      <x:c r="F10" s="23" t="str">
        <x:v>Country/place-of-residence receipts exclude Sightseeing, Entertainment &amp; Gaming (SEG)</x:v>
      </x:c>
      <x:c r="G10" s="23" t="str">
        <x:v>STB Annual Report 2019-2020</x:v>
      </x:c>
      <x:c r="H10" s="23" t="n">
        <x:v>28</x:v>
      </x:c>
      <x:c r="I10" s="23" t="str">
        <x:v>https://file.go.gov.sg/stb-ar-19-20.pdf</x:v>
      </x:c>
      <x:c r="J10" s="23" t="str"/>
    </x:row>
    <x:row r="11" ht="32" customHeight="1">
      <x:c r="A11" s="22" t="n">
        <x:v>2019</x:v>
      </x:c>
      <x:c r="B11" t="str">
        <x:v>Jan-Dec 2019</x:v>
      </x:c>
      <x:c r="C11" t="str">
        <x:v>Vietnam</x:v>
      </x:c>
      <x:c r="D11" s="15" t="n">
        <x:v>668</x:v>
      </x:c>
      <x:c r="E11" s="22" t="n">
        <x:v>10</x:v>
      </x:c>
      <x:c r="F11" s="23" t="str">
        <x:v>Country/place-of-residence receipts exclude Sightseeing, Entertainment &amp; Gaming (SEG)</x:v>
      </x:c>
      <x:c r="G11" s="23" t="str">
        <x:v>STB Annual Report 2019-2020</x:v>
      </x:c>
      <x:c r="H11" s="23" t="n">
        <x:v>28</x:v>
      </x:c>
      <x:c r="I11" s="23" t="str">
        <x:v>https://file.go.gov.sg/stb-ar-19-20.pdf</x:v>
      </x:c>
      <x:c r="J11" s="23" t="str"/>
    </x:row>
    <x:row r="12" ht="32" customHeight="1">
      <x:c r="A12" s="22" t="n">
        <x:v>2020</x:v>
      </x:c>
      <x:c r="B12" t="str">
        <x:v>Jan-Dec 2020</x:v>
      </x:c>
      <x:c r="C12" t="str">
        <x:v>Mainland China</x:v>
      </x:c>
      <x:c r="D12" s="15" t="n">
        <x:v>624</x:v>
      </x:c>
      <x:c r="E12" s="22" t="n">
        <x:v>1</x:v>
      </x:c>
      <x:c r="F12" s="23" t="str">
        <x:v>Country/place-of-residence receipts exclude Sightseeing, Entertainment &amp; Gaming (SEG)</x:v>
      </x:c>
      <x:c r="G12" s="23" t="str">
        <x:v>STB Annual Report 2020-2021</x:v>
      </x:c>
      <x:c r="H12" s="23" t="n">
        <x:v>28</x:v>
      </x:c>
      <x:c r="I12" s="23" t="str">
        <x:v>https://go.gov.sg/stb-ar-20-21</x:v>
      </x:c>
      <x:c r="J12" s="23" t="str"/>
    </x:row>
    <x:row r="13" ht="32" customHeight="1">
      <x:c r="A13" s="22" t="n">
        <x:v>2020</x:v>
      </x:c>
      <x:c r="B13" t="str">
        <x:v>Jan-Dec 2020</x:v>
      </x:c>
      <x:c r="C13" t="str">
        <x:v>Indonesia</x:v>
      </x:c>
      <x:c r="D13" s="15" t="n">
        <x:v>562</x:v>
      </x:c>
      <x:c r="E13" s="22" t="n">
        <x:v>2</x:v>
      </x:c>
      <x:c r="F13" s="23" t="str">
        <x:v>Country/place-of-residence receipts exclude Sightseeing, Entertainment &amp; Gaming (SEG)</x:v>
      </x:c>
      <x:c r="G13" s="23" t="str">
        <x:v>STB Annual Report 2020-2021</x:v>
      </x:c>
      <x:c r="H13" s="23" t="n">
        <x:v>28</x:v>
      </x:c>
      <x:c r="I13" s="23" t="str">
        <x:v>https://go.gov.sg/stb-ar-20-21</x:v>
      </x:c>
      <x:c r="J13" s="23" t="str"/>
    </x:row>
    <x:row r="14" ht="32" customHeight="1">
      <x:c r="A14" s="22" t="n">
        <x:v>2020</x:v>
      </x:c>
      <x:c r="B14" t="str">
        <x:v>Jan-Dec 2020</x:v>
      </x:c>
      <x:c r="C14" t="str">
        <x:v>India</x:v>
      </x:c>
      <x:c r="D14" s="15" t="n">
        <x:v>291</x:v>
      </x:c>
      <x:c r="E14" s="22" t="n">
        <x:v>3</x:v>
      </x:c>
      <x:c r="F14" s="23" t="str">
        <x:v>Country/place-of-residence receipts exclude Sightseeing, Entertainment &amp; Gaming (SEG)</x:v>
      </x:c>
      <x:c r="G14" s="23" t="str">
        <x:v>STB Annual Report 2020-2021</x:v>
      </x:c>
      <x:c r="H14" s="23" t="n">
        <x:v>28</x:v>
      </x:c>
      <x:c r="I14" s="23" t="str">
        <x:v>https://go.gov.sg/stb-ar-20-21</x:v>
      </x:c>
      <x:c r="J14" s="23" t="str"/>
    </x:row>
    <x:row r="15" ht="32" customHeight="1">
      <x:c r="A15" s="22" t="n">
        <x:v>2020</x:v>
      </x:c>
      <x:c r="B15" t="str">
        <x:v>Jan-Dec 2020</x:v>
      </x:c>
      <x:c r="C15" t="str">
        <x:v>Australia</x:v>
      </x:c>
      <x:c r="D15" s="15" t="n">
        <x:v>235</x:v>
      </x:c>
      <x:c r="E15" s="22" t="n">
        <x:v>4</x:v>
      </x:c>
      <x:c r="F15" s="23" t="str">
        <x:v>Country/place-of-residence receipts exclude Sightseeing, Entertainment &amp; Gaming (SEG)</x:v>
      </x:c>
      <x:c r="G15" s="23" t="str">
        <x:v>STB Annual Report 2020-2021</x:v>
      </x:c>
      <x:c r="H15" s="23" t="n">
        <x:v>28</x:v>
      </x:c>
      <x:c r="I15" s="23" t="str">
        <x:v>https://go.gov.sg/stb-ar-20-21</x:v>
      </x:c>
      <x:c r="J15" s="23" t="str"/>
    </x:row>
    <x:row r="16" ht="32" customHeight="1">
      <x:c r="A16" s="22" t="n">
        <x:v>2020</x:v>
      </x:c>
      <x:c r="B16" t="str">
        <x:v>Jan-Dec 2020</x:v>
      </x:c>
      <x:c r="C16" t="str">
        <x:v>Japan</x:v>
      </x:c>
      <x:c r="D16" s="15" t="n">
        <x:v>178</x:v>
      </x:c>
      <x:c r="E16" s="22" t="n">
        <x:v>5</x:v>
      </x:c>
      <x:c r="F16" s="23" t="str">
        <x:v>Country/place-of-residence receipts exclude Sightseeing, Entertainment &amp; Gaming (SEG)</x:v>
      </x:c>
      <x:c r="G16" s="23" t="str">
        <x:v>STB Annual Report 2020-2021</x:v>
      </x:c>
      <x:c r="H16" s="23" t="n">
        <x:v>28</x:v>
      </x:c>
      <x:c r="I16" s="23" t="str">
        <x:v>https://go.gov.sg/stb-ar-20-21</x:v>
      </x:c>
      <x:c r="J16" s="23" t="str"/>
    </x:row>
    <x:row r="17" ht="32" customHeight="1">
      <x:c r="A17" s="22" t="n">
        <x:v>2020</x:v>
      </x:c>
      <x:c r="B17" t="str">
        <x:v>Jan-Dec 2020</x:v>
      </x:c>
      <x:c r="C17" t="str">
        <x:v>USA</x:v>
      </x:c>
      <x:c r="D17" s="15" t="n">
        <x:v>149</x:v>
      </x:c>
      <x:c r="E17" s="22" t="n">
        <x:v>6</x:v>
      </x:c>
      <x:c r="F17" s="23" t="str">
        <x:v>Country/place-of-residence receipts exclude Sightseeing, Entertainment &amp; Gaming (SEG)</x:v>
      </x:c>
      <x:c r="G17" s="23" t="str">
        <x:v>STB Annual Report 2020-2021</x:v>
      </x:c>
      <x:c r="H17" s="23" t="n">
        <x:v>28</x:v>
      </x:c>
      <x:c r="I17" s="23" t="str">
        <x:v>https://go.gov.sg/stb-ar-20-21</x:v>
      </x:c>
      <x:c r="J17" s="23" t="str"/>
    </x:row>
    <x:row r="18" ht="32" customHeight="1">
      <x:c r="A18" s="22" t="n">
        <x:v>2020</x:v>
      </x:c>
      <x:c r="B18" t="str">
        <x:v>Jan-Dec 2020</x:v>
      </x:c>
      <x:c r="C18" t="str">
        <x:v>UK</x:v>
      </x:c>
      <x:c r="D18" s="15" t="n">
        <x:v>138</x:v>
      </x:c>
      <x:c r="E18" s="22" t="n">
        <x:v>7</x:v>
      </x:c>
      <x:c r="F18" s="23" t="str">
        <x:v>Country/place-of-residence receipts exclude Sightseeing, Entertainment &amp; Gaming (SEG)</x:v>
      </x:c>
      <x:c r="G18" s="23" t="str">
        <x:v>STB Annual Report 2020-2021</x:v>
      </x:c>
      <x:c r="H18" s="23" t="n">
        <x:v>28</x:v>
      </x:c>
      <x:c r="I18" s="23" t="str">
        <x:v>https://go.gov.sg/stb-ar-20-21</x:v>
      </x:c>
      <x:c r="J18" s="23" t="str"/>
    </x:row>
    <x:row r="19" ht="32" customHeight="1">
      <x:c r="A19" s="22" t="n">
        <x:v>2020</x:v>
      </x:c>
      <x:c r="B19" t="str">
        <x:v>Jan-Dec 2020</x:v>
      </x:c>
      <x:c r="C19" t="str">
        <x:v>Malaysia</x:v>
      </x:c>
      <x:c r="D19" s="15" t="n">
        <x:v>135</x:v>
      </x:c>
      <x:c r="E19" s="22" t="n">
        <x:v>8</x:v>
      </x:c>
      <x:c r="F19" s="23" t="str">
        <x:v>Country/place-of-residence receipts exclude Sightseeing, Entertainment &amp; Gaming (SEG)</x:v>
      </x:c>
      <x:c r="G19" s="23" t="str">
        <x:v>STB Annual Report 2020-2021</x:v>
      </x:c>
      <x:c r="H19" s="23" t="n">
        <x:v>28</x:v>
      </x:c>
      <x:c r="I19" s="23" t="str">
        <x:v>https://go.gov.sg/stb-ar-20-21</x:v>
      </x:c>
      <x:c r="J19" s="23" t="str"/>
    </x:row>
    <x:row r="20" ht="32" customHeight="1">
      <x:c r="A20" s="22" t="n">
        <x:v>2020</x:v>
      </x:c>
      <x:c r="B20" t="str">
        <x:v>Jan-Dec 2020</x:v>
      </x:c>
      <x:c r="C20" t="str">
        <x:v>Vietnam</x:v>
      </x:c>
      <x:c r="D20" s="15" t="n">
        <x:v>133</x:v>
      </x:c>
      <x:c r="E20" s="22" t="n">
        <x:v>9</x:v>
      </x:c>
      <x:c r="F20" s="23" t="str">
        <x:v>Country/place-of-residence receipts exclude Sightseeing, Entertainment &amp; Gaming (SEG)</x:v>
      </x:c>
      <x:c r="G20" s="23" t="str">
        <x:v>STB Annual Report 2020-2021</x:v>
      </x:c>
      <x:c r="H20" s="23" t="n">
        <x:v>28</x:v>
      </x:c>
      <x:c r="I20" s="23" t="str">
        <x:v>https://go.gov.sg/stb-ar-20-21</x:v>
      </x:c>
      <x:c r="J20" s="23" t="str"/>
    </x:row>
    <x:row r="21" ht="32" customHeight="1">
      <x:c r="A21" s="22" t="n">
        <x:v>2020</x:v>
      </x:c>
      <x:c r="B21" t="str">
        <x:v>Jan-Dec 2020</x:v>
      </x:c>
      <x:c r="C21" t="str">
        <x:v>Philippines</x:v>
      </x:c>
      <x:c r="D21" s="15" t="n">
        <x:v>125</x:v>
      </x:c>
      <x:c r="E21" s="22" t="n">
        <x:v>10</x:v>
      </x:c>
      <x:c r="F21" s="23" t="str">
        <x:v>Country/place-of-residence receipts exclude Sightseeing, Entertainment &amp; Gaming (SEG)</x:v>
      </x:c>
      <x:c r="G21" s="23" t="str">
        <x:v>STB Annual Report 2020-2021</x:v>
      </x:c>
      <x:c r="H21" s="23" t="n">
        <x:v>28</x:v>
      </x:c>
      <x:c r="I21" s="23" t="str">
        <x:v>https://go.gov.sg/stb-ar-20-21</x:v>
      </x:c>
      <x:c r="J21" s="23" t="str"/>
    </x:row>
    <x:row r="22" ht="32" customHeight="1">
      <x:c r="A22" s="22" t="n">
        <x:v>2021</x:v>
      </x:c>
      <x:c r="B22" t="str">
        <x:v>Jan-Dec 2021</x:v>
      </x:c>
      <x:c r="C22" t="str">
        <x:v>Mainland China</x:v>
      </x:c>
      <x:c r="D22" s="15" t="n">
        <x:v>536.9</x:v>
      </x:c>
      <x:c r="E22" s="22" t="n">
        <x:v>1</x:v>
      </x:c>
      <x:c r="F22" s="23" t="str">
        <x:v>Country/place-of-residence receipts exclude Sightseeing, Entertainment &amp; Gaming (SEG)</x:v>
      </x:c>
      <x:c r="G22" s="23" t="str">
        <x:v>STB Annual Report 2021-2022</x:v>
      </x:c>
      <x:c r="H22" s="23" t="n">
        <x:v>32</x:v>
      </x:c>
      <x:c r="I22" s="23" t="str">
        <x:v>https://go.gov.sg/stb-ar-21-22</x:v>
      </x:c>
      <x:c r="J22" s="23" t="str"/>
    </x:row>
    <x:row r="23" ht="32" customHeight="1">
      <x:c r="A23" s="22" t="n">
        <x:v>2021</x:v>
      </x:c>
      <x:c r="B23" t="str">
        <x:v>Jan-Dec 2021</x:v>
      </x:c>
      <x:c r="C23" t="str">
        <x:v>Indonesia</x:v>
      </x:c>
      <x:c r="D23" s="15" t="n">
        <x:v>189.9</x:v>
      </x:c>
      <x:c r="E23" s="22" t="n">
        <x:v>2</x:v>
      </x:c>
      <x:c r="F23" s="23" t="str">
        <x:v>Country/place-of-residence receipts exclude Sightseeing, Entertainment &amp; Gaming (SEG)</x:v>
      </x:c>
      <x:c r="G23" s="23" t="str">
        <x:v>STB Annual Report 2021-2022</x:v>
      </x:c>
      <x:c r="H23" s="23" t="n">
        <x:v>32</x:v>
      </x:c>
      <x:c r="I23" s="23" t="str">
        <x:v>https://go.gov.sg/stb-ar-21-22</x:v>
      </x:c>
      <x:c r="J23" s="23" t="str"/>
    </x:row>
    <x:row r="24" ht="32" customHeight="1">
      <x:c r="A24" s="22" t="n">
        <x:v>2021</x:v>
      </x:c>
      <x:c r="B24" t="str">
        <x:v>Jan-Dec 2021</x:v>
      </x:c>
      <x:c r="C24" t="str">
        <x:v>India</x:v>
      </x:c>
      <x:c r="D24" s="15" t="n">
        <x:v>94.74</x:v>
      </x:c>
      <x:c r="E24" s="22" t="n">
        <x:v>3</x:v>
      </x:c>
      <x:c r="F24" s="23" t="str">
        <x:v>Country/place-of-residence receipts exclude Sightseeing, Entertainment &amp; Gaming (SEG)</x:v>
      </x:c>
      <x:c r="G24" s="23" t="str">
        <x:v>STB Annual Report 2021-2022</x:v>
      </x:c>
      <x:c r="H24" s="23" t="n">
        <x:v>32</x:v>
      </x:c>
      <x:c r="I24" s="23" t="str">
        <x:v>https://go.gov.sg/stb-ar-21-22</x:v>
      </x:c>
      <x:c r="J24" s="23" t="str"/>
    </x:row>
    <x:row r="25" ht="32" customHeight="1">
      <x:c r="A25" s="22" t="n">
        <x:v>2021</x:v>
      </x:c>
      <x:c r="B25" t="str">
        <x:v>Jan-Dec 2021</x:v>
      </x:c>
      <x:c r="C25" t="str">
        <x:v>USA</x:v>
      </x:c>
      <x:c r="D25" s="15" t="n">
        <x:v>72.07</x:v>
      </x:c>
      <x:c r="E25" s="22" t="n">
        <x:v>4</x:v>
      </x:c>
      <x:c r="F25" s="23" t="str">
        <x:v>Country/place-of-residence receipts exclude Sightseeing, Entertainment &amp; Gaming (SEG)</x:v>
      </x:c>
      <x:c r="G25" s="23" t="str">
        <x:v>STB Annual Report 2021-2022</x:v>
      </x:c>
      <x:c r="H25" s="23" t="n">
        <x:v>32</x:v>
      </x:c>
      <x:c r="I25" s="23" t="str">
        <x:v>https://go.gov.sg/stb-ar-21-22</x:v>
      </x:c>
      <x:c r="J25" s="23" t="str"/>
    </x:row>
    <x:row r="26" ht="32" customHeight="1">
      <x:c r="A26" s="22" t="n">
        <x:v>2021</x:v>
      </x:c>
      <x:c r="B26" t="str">
        <x:v>Jan-Dec 2021</x:v>
      </x:c>
      <x:c r="C26" t="str">
        <x:v>Malaysia</x:v>
      </x:c>
      <x:c r="D26" s="15" t="n">
        <x:v>68.47</x:v>
      </x:c>
      <x:c r="E26" s="22" t="n">
        <x:v>5</x:v>
      </x:c>
      <x:c r="F26" s="23" t="str">
        <x:v>Country/place-of-residence receipts exclude Sightseeing, Entertainment &amp; Gaming (SEG)</x:v>
      </x:c>
      <x:c r="G26" s="23" t="str">
        <x:v>STB Annual Report 2021-2022</x:v>
      </x:c>
      <x:c r="H26" s="23" t="n">
        <x:v>32</x:v>
      </x:c>
      <x:c r="I26" s="23" t="str">
        <x:v>https://go.gov.sg/stb-ar-21-22</x:v>
      </x:c>
      <x:c r="J26" s="23" t="str"/>
    </x:row>
    <x:row r="27" ht="32" customHeight="1">
      <x:c r="A27" s="22" t="n">
        <x:v>2021</x:v>
      </x:c>
      <x:c r="B27" t="str">
        <x:v>Jan-Dec 2021</x:v>
      </x:c>
      <x:c r="C27" t="str">
        <x:v>Australia</x:v>
      </x:c>
      <x:c r="D27" s="15" t="n">
        <x:v>51.69</x:v>
      </x:c>
      <x:c r="E27" s="22" t="n">
        <x:v>6</x:v>
      </x:c>
      <x:c r="F27" s="23" t="str">
        <x:v>Country/place-of-residence receipts exclude Sightseeing, Entertainment &amp; Gaming (SEG)</x:v>
      </x:c>
      <x:c r="G27" s="23" t="str">
        <x:v>STB Annual Report 2021-2022</x:v>
      </x:c>
      <x:c r="H27" s="23" t="n">
        <x:v>32</x:v>
      </x:c>
      <x:c r="I27" s="23" t="str">
        <x:v>https://go.gov.sg/stb-ar-21-22</x:v>
      </x:c>
      <x:c r="J27" s="23" t="str"/>
    </x:row>
    <x:row r="28" ht="32" customHeight="1">
      <x:c r="A28" s="22" t="n">
        <x:v>2021</x:v>
      </x:c>
      <x:c r="B28" t="str">
        <x:v>Jan-Dec 2021</x:v>
      </x:c>
      <x:c r="C28" t="str">
        <x:v>Hong Kong SAR</x:v>
      </x:c>
      <x:c r="D28" s="15" t="n">
        <x:v>46.12</x:v>
      </x:c>
      <x:c r="E28" s="22" t="n">
        <x:v>7</x:v>
      </x:c>
      <x:c r="F28" s="23" t="str">
        <x:v>Country/place-of-residence receipts exclude Sightseeing, Entertainment &amp; Gaming (SEG)</x:v>
      </x:c>
      <x:c r="G28" s="23" t="str">
        <x:v>STB Annual Report 2021-2022</x:v>
      </x:c>
      <x:c r="H28" s="23" t="n">
        <x:v>32</x:v>
      </x:c>
      <x:c r="I28" s="23" t="str">
        <x:v>https://go.gov.sg/stb-ar-21-22</x:v>
      </x:c>
      <x:c r="J28" s="23" t="str"/>
    </x:row>
    <x:row r="29" ht="32" customHeight="1">
      <x:c r="A29" s="22" t="n">
        <x:v>2021</x:v>
      </x:c>
      <x:c r="B29" t="str">
        <x:v>Jan-Dec 2021</x:v>
      </x:c>
      <x:c r="C29" t="str">
        <x:v>South Korea</x:v>
      </x:c>
      <x:c r="D29" s="15" t="n">
        <x:v>41.95</x:v>
      </x:c>
      <x:c r="E29" s="22" t="n">
        <x:v>8</x:v>
      </x:c>
      <x:c r="F29" s="23" t="str">
        <x:v>Country/place-of-residence receipts exclude Sightseeing, Entertainment &amp; Gaming (SEG)</x:v>
      </x:c>
      <x:c r="G29" s="23" t="str">
        <x:v>STB Annual Report 2021-2022</x:v>
      </x:c>
      <x:c r="H29" s="23" t="n">
        <x:v>32</x:v>
      </x:c>
      <x:c r="I29" s="23" t="str">
        <x:v>https://go.gov.sg/stb-ar-21-22</x:v>
      </x:c>
      <x:c r="J29" s="23" t="str"/>
    </x:row>
    <x:row r="30" ht="32" customHeight="1">
      <x:c r="A30" s="22" t="n">
        <x:v>2021</x:v>
      </x:c>
      <x:c r="B30" t="str">
        <x:v>Jan-Dec 2021</x:v>
      </x:c>
      <x:c r="C30" t="str">
        <x:v>Vietnam</x:v>
      </x:c>
      <x:c r="D30" s="15" t="n">
        <x:v>39.63</x:v>
      </x:c>
      <x:c r="E30" s="22" t="n">
        <x:v>9</x:v>
      </x:c>
      <x:c r="F30" s="23" t="str">
        <x:v>Country/place-of-residence receipts exclude Sightseeing, Entertainment &amp; Gaming (SEG)</x:v>
      </x:c>
      <x:c r="G30" s="23" t="str">
        <x:v>STB Annual Report 2021-2022</x:v>
      </x:c>
      <x:c r="H30" s="23" t="n">
        <x:v>32</x:v>
      </x:c>
      <x:c r="I30" s="23" t="str">
        <x:v>https://go.gov.sg/stb-ar-21-22</x:v>
      </x:c>
      <x:c r="J30" s="23" t="str"/>
    </x:row>
    <x:row r="31" ht="32" customHeight="1">
      <x:c r="A31" s="22" t="n">
        <x:v>2021</x:v>
      </x:c>
      <x:c r="B31" t="str">
        <x:v>Jan-Dec 2021</x:v>
      </x:c>
      <x:c r="C31" t="str">
        <x:v>Japan</x:v>
      </x:c>
      <x:c r="D31" s="15" t="n">
        <x:v>38.3</x:v>
      </x:c>
      <x:c r="E31" s="22" t="n">
        <x:v>10</x:v>
      </x:c>
      <x:c r="F31" s="23" t="str">
        <x:v>Country/place-of-residence receipts exclude Sightseeing, Entertainment &amp; Gaming (SEG)</x:v>
      </x:c>
      <x:c r="G31" s="23" t="str">
        <x:v>STB Annual Report 2021-2022</x:v>
      </x:c>
      <x:c r="H31" s="23" t="n">
        <x:v>32</x:v>
      </x:c>
      <x:c r="I31" s="23" t="str">
        <x:v>https://go.gov.sg/stb-ar-21-22</x:v>
      </x:c>
      <x:c r="J31" s="23" t="str"/>
    </x:row>
    <x:row r="32" ht="32" customHeight="1">
      <x:c r="A32" s="22" t="n">
        <x:v>2022</x:v>
      </x:c>
      <x:c r="B32" t="str">
        <x:v>Jan-Dec 2022</x:v>
      </x:c>
      <x:c r="C32" t="str">
        <x:v>Indonesia</x:v>
      </x:c>
      <x:c r="D32" s="15" t="n">
        <x:v>1720</x:v>
      </x:c>
      <x:c r="E32" s="22" t="n">
        <x:v>1</x:v>
      </x:c>
      <x:c r="F32" s="23" t="str">
        <x:v>Country/place-of-residence receipts exclude Sightseeing, Entertainment &amp; Gaming (SEG)</x:v>
      </x:c>
      <x:c r="G32" s="23" t="str">
        <x:v>STB Annual Report 2022-2023</x:v>
      </x:c>
      <x:c r="H32" s="23" t="n">
        <x:v>33</x:v>
      </x:c>
      <x:c r="I32" s="23" t="str">
        <x:v>https://go.gov.sg/stb-ar-22-23</x:v>
      </x:c>
      <x:c r="J32" s="23" t="str"/>
    </x:row>
    <x:row r="33" ht="32" customHeight="1">
      <x:c r="A33" s="22" t="n">
        <x:v>2022</x:v>
      </x:c>
      <x:c r="B33" t="str">
        <x:v>Jan-Dec 2022</x:v>
      </x:c>
      <x:c r="C33" t="str">
        <x:v>Australia</x:v>
      </x:c>
      <x:c r="D33" s="15" t="n">
        <x:v>1090</x:v>
      </x:c>
      <x:c r="E33" s="22" t="n">
        <x:v>2</x:v>
      </x:c>
      <x:c r="F33" s="23" t="str">
        <x:v>Country/place-of-residence receipts exclude Sightseeing, Entertainment &amp; Gaming (SEG)</x:v>
      </x:c>
      <x:c r="G33" s="23" t="str">
        <x:v>STB Annual Report 2022-2023</x:v>
      </x:c>
      <x:c r="H33" s="23" t="n">
        <x:v>33</x:v>
      </x:c>
      <x:c r="I33" s="23" t="str">
        <x:v>https://go.gov.sg/stb-ar-22-23</x:v>
      </x:c>
      <x:c r="J33" s="23" t="str"/>
    </x:row>
    <x:row r="34" ht="32" customHeight="1">
      <x:c r="A34" s="22" t="n">
        <x:v>2022</x:v>
      </x:c>
      <x:c r="B34" t="str">
        <x:v>Jan-Dec 2022</x:v>
      </x:c>
      <x:c r="C34" t="str">
        <x:v>India</x:v>
      </x:c>
      <x:c r="D34" s="15" t="n">
        <x:v>1070</x:v>
      </x:c>
      <x:c r="E34" s="22" t="n">
        <x:v>3</x:v>
      </x:c>
      <x:c r="F34" s="23" t="str">
        <x:v>Country/place-of-residence receipts exclude Sightseeing, Entertainment &amp; Gaming (SEG)</x:v>
      </x:c>
      <x:c r="G34" s="23" t="str">
        <x:v>STB Annual Report 2022-2023</x:v>
      </x:c>
      <x:c r="H34" s="23" t="n">
        <x:v>33</x:v>
      </x:c>
      <x:c r="I34" s="23" t="str">
        <x:v>https://go.gov.sg/stb-ar-22-23</x:v>
      </x:c>
      <x:c r="J34" s="23" t="str"/>
    </x:row>
    <x:row r="35" ht="32" customHeight="1">
      <x:c r="A35" s="22" t="n">
        <x:v>2022</x:v>
      </x:c>
      <x:c r="B35" t="str">
        <x:v>Jan-Dec 2022</x:v>
      </x:c>
      <x:c r="C35" t="str">
        <x:v>USA</x:v>
      </x:c>
      <x:c r="D35" s="15" t="n">
        <x:v>909.7</x:v>
      </x:c>
      <x:c r="E35" s="22" t="n">
        <x:v>4</x:v>
      </x:c>
      <x:c r="F35" s="23" t="str">
        <x:v>Country/place-of-residence receipts exclude Sightseeing, Entertainment &amp; Gaming (SEG)</x:v>
      </x:c>
      <x:c r="G35" s="23" t="str">
        <x:v>STB Annual Report 2022-2023</x:v>
      </x:c>
      <x:c r="H35" s="23" t="n">
        <x:v>33</x:v>
      </x:c>
      <x:c r="I35" s="23" t="str">
        <x:v>https://go.gov.sg/stb-ar-22-23</x:v>
      </x:c>
      <x:c r="J35" s="23" t="str"/>
    </x:row>
    <x:row r="36" ht="32" customHeight="1">
      <x:c r="A36" s="22" t="n">
        <x:v>2022</x:v>
      </x:c>
      <x:c r="B36" t="str">
        <x:v>Jan-Dec 2022</x:v>
      </x:c>
      <x:c r="C36" t="str">
        <x:v>Malaysia</x:v>
      </x:c>
      <x:c r="D36" s="15" t="n">
        <x:v>623.4</x:v>
      </x:c>
      <x:c r="E36" s="22" t="n">
        <x:v>5</x:v>
      </x:c>
      <x:c r="F36" s="23" t="str">
        <x:v>Country/place-of-residence receipts exclude Sightseeing, Entertainment &amp; Gaming (SEG)</x:v>
      </x:c>
      <x:c r="G36" s="23" t="str">
        <x:v>STB Annual Report 2022-2023</x:v>
      </x:c>
      <x:c r="H36" s="23" t="n">
        <x:v>33</x:v>
      </x:c>
      <x:c r="I36" s="23" t="str">
        <x:v>https://go.gov.sg/stb-ar-22-23</x:v>
      </x:c>
      <x:c r="J36" s="23" t="str"/>
    </x:row>
    <x:row r="37" ht="32" customHeight="1">
      <x:c r="A37" s="22" t="n">
        <x:v>2022</x:v>
      </x:c>
      <x:c r="B37" t="str">
        <x:v>Jan-Dec 2022</x:v>
      </x:c>
      <x:c r="C37" t="str">
        <x:v>Mainland China</x:v>
      </x:c>
      <x:c r="D37" s="15" t="n">
        <x:v>602.3</x:v>
      </x:c>
      <x:c r="E37" s="22" t="n">
        <x:v>6</x:v>
      </x:c>
      <x:c r="F37" s="23" t="str">
        <x:v>Country/place-of-residence receipts exclude Sightseeing, Entertainment &amp; Gaming (SEG)</x:v>
      </x:c>
      <x:c r="G37" s="23" t="str">
        <x:v>STB Annual Report 2022-2023</x:v>
      </x:c>
      <x:c r="H37" s="23" t="n">
        <x:v>33</x:v>
      </x:c>
      <x:c r="I37" s="23" t="str">
        <x:v>https://go.gov.sg/stb-ar-22-23</x:v>
      </x:c>
      <x:c r="J37" s="23" t="str"/>
    </x:row>
    <x:row r="38" ht="32" customHeight="1">
      <x:c r="A38" s="22" t="n">
        <x:v>2022</x:v>
      </x:c>
      <x:c r="B38" t="str">
        <x:v>Jan-Dec 2022</x:v>
      </x:c>
      <x:c r="C38" t="str">
        <x:v>UK</x:v>
      </x:c>
      <x:c r="D38" s="15" t="n">
        <x:v>542.4</x:v>
      </x:c>
      <x:c r="E38" s="22" t="n">
        <x:v>7</x:v>
      </x:c>
      <x:c r="F38" s="23" t="str">
        <x:v>Country/place-of-residence receipts exclude Sightseeing, Entertainment &amp; Gaming (SEG)</x:v>
      </x:c>
      <x:c r="G38" s="23" t="str">
        <x:v>STB Annual Report 2022-2023</x:v>
      </x:c>
      <x:c r="H38" s="23" t="n">
        <x:v>33</x:v>
      </x:c>
      <x:c r="I38" s="23" t="str">
        <x:v>https://go.gov.sg/stb-ar-22-23</x:v>
      </x:c>
      <x:c r="J38" s="23" t="str"/>
    </x:row>
    <x:row r="39" ht="32" customHeight="1">
      <x:c r="A39" s="22" t="n">
        <x:v>2022</x:v>
      </x:c>
      <x:c r="B39" t="str">
        <x:v>Jan-Dec 2022</x:v>
      </x:c>
      <x:c r="C39" t="str">
        <x:v>Philippines</x:v>
      </x:c>
      <x:c r="D39" s="15" t="n">
        <x:v>499.5</x:v>
      </x:c>
      <x:c r="E39" s="22" t="n">
        <x:v>8</x:v>
      </x:c>
      <x:c r="F39" s="23" t="str">
        <x:v>Country/place-of-residence receipts exclude Sightseeing, Entertainment &amp; Gaming (SEG)</x:v>
      </x:c>
      <x:c r="G39" s="23" t="str">
        <x:v>STB Annual Report 2022-2023</x:v>
      </x:c>
      <x:c r="H39" s="23" t="n">
        <x:v>33</x:v>
      </x:c>
      <x:c r="I39" s="23" t="str">
        <x:v>https://go.gov.sg/stb-ar-22-23</x:v>
      </x:c>
      <x:c r="J39" s="23" t="str"/>
    </x:row>
    <x:row r="40" ht="32" customHeight="1">
      <x:c r="A40" s="22" t="n">
        <x:v>2022</x:v>
      </x:c>
      <x:c r="B40" t="str">
        <x:v>Jan-Dec 2022</x:v>
      </x:c>
      <x:c r="C40" t="str">
        <x:v>Vietnam</x:v>
      </x:c>
      <x:c r="D40" s="15" t="n">
        <x:v>431.8</x:v>
      </x:c>
      <x:c r="E40" s="22" t="n">
        <x:v>9</x:v>
      </x:c>
      <x:c r="F40" s="23" t="str">
        <x:v>Country/place-of-residence receipts exclude Sightseeing, Entertainment &amp; Gaming (SEG)</x:v>
      </x:c>
      <x:c r="G40" s="23" t="str">
        <x:v>STB Annual Report 2022-2023</x:v>
      </x:c>
      <x:c r="H40" s="23" t="n">
        <x:v>33</x:v>
      </x:c>
      <x:c r="I40" s="23" t="str">
        <x:v>https://go.gov.sg/stb-ar-22-23</x:v>
      </x:c>
      <x:c r="J40" s="23" t="str"/>
    </x:row>
    <x:row r="41" ht="32" customHeight="1">
      <x:c r="A41" s="22" t="n">
        <x:v>2022</x:v>
      </x:c>
      <x:c r="B41" t="str">
        <x:v>Jan-Dec 2022</x:v>
      </x:c>
      <x:c r="C41" t="str">
        <x:v>Thailand</x:v>
      </x:c>
      <x:c r="D41" s="15" t="n">
        <x:v>415.1</x:v>
      </x:c>
      <x:c r="E41" s="22" t="n">
        <x:v>10</x:v>
      </x:c>
      <x:c r="F41" s="23" t="str">
        <x:v>Country/place-of-residence receipts exclude Sightseeing, Entertainment &amp; Gaming (SEG)</x:v>
      </x:c>
      <x:c r="G41" s="23" t="str">
        <x:v>STB Annual Report 2022-2023</x:v>
      </x:c>
      <x:c r="H41" s="23" t="n">
        <x:v>33</x:v>
      </x:c>
      <x:c r="I41" s="23" t="str">
        <x:v>https://go.gov.sg/stb-ar-22-23</x:v>
      </x:c>
      <x:c r="J41" s="23" t="str"/>
    </x:row>
    <x:row r="42" ht="32" customHeight="1">
      <x:c r="A42" s="22" t="n">
        <x:v>2023</x:v>
      </x:c>
      <x:c r="B42" t="str">
        <x:v>Jan-Dec 2023</x:v>
      </x:c>
      <x:c r="C42" t="str">
        <x:v>Mainland China</x:v>
      </x:c>
      <x:c r="D42" s="15" t="n">
        <x:v>3090</x:v>
      </x:c>
      <x:c r="E42" s="22" t="n">
        <x:v>1</x:v>
      </x:c>
      <x:c r="F42" s="23" t="str">
        <x:v>Country/place-of-residence receipts exclude Sightseeing, Entertainment &amp; Gaming (SEG)</x:v>
      </x:c>
      <x:c r="G42" s="23" t="str">
        <x:v>STB Annual Report 2023-2024</x:v>
      </x:c>
      <x:c r="H42" s="23" t="n">
        <x:v>35</x:v>
      </x:c>
      <x:c r="I42" s="23" t="str">
        <x:v>https://isomer-user-content.by.gov.sg/1/223af187-e0d0-4c9d-a517-186a8a61e516/STB%20Annual%20Report%20FY23-24.pdf</x:v>
      </x:c>
      <x:c r="J42" s="23" t="str"/>
    </x:row>
    <x:row r="43" ht="32" customHeight="1">
      <x:c r="A43" s="22" t="n">
        <x:v>2023</x:v>
      </x:c>
      <x:c r="B43" t="str">
        <x:v>Jan-Dec 2023</x:v>
      </x:c>
      <x:c r="C43" t="str">
        <x:v>Indonesia</x:v>
      </x:c>
      <x:c r="D43" s="15" t="n">
        <x:v>2980</x:v>
      </x:c>
      <x:c r="E43" s="22" t="n">
        <x:v>2</x:v>
      </x:c>
      <x:c r="F43" s="23" t="str">
        <x:v>Country/place-of-residence receipts exclude Sightseeing, Entertainment &amp; Gaming (SEG)</x:v>
      </x:c>
      <x:c r="G43" s="23" t="str">
        <x:v>STB Annual Report 2023-2024</x:v>
      </x:c>
      <x:c r="H43" s="23" t="n">
        <x:v>35</x:v>
      </x:c>
      <x:c r="I43" s="23" t="str">
        <x:v>https://isomer-user-content.by.gov.sg/1/223af187-e0d0-4c9d-a517-186a8a61e516/STB%20Annual%20Report%20FY23-24.pdf</x:v>
      </x:c>
      <x:c r="J43" s="23" t="str"/>
    </x:row>
    <x:row r="44" ht="32" customHeight="1">
      <x:c r="A44" s="22" t="n">
        <x:v>2023</x:v>
      </x:c>
      <x:c r="B44" t="str">
        <x:v>Jan-Dec 2023</x:v>
      </x:c>
      <x:c r="C44" t="str">
        <x:v>Australia</x:v>
      </x:c>
      <x:c r="D44" s="15" t="n">
        <x:v>2010</x:v>
      </x:c>
      <x:c r="E44" s="22" t="n">
        <x:v>3</x:v>
      </x:c>
      <x:c r="F44" s="23" t="str">
        <x:v>Country/place-of-residence receipts exclude Sightseeing, Entertainment &amp; Gaming (SEG)</x:v>
      </x:c>
      <x:c r="G44" s="23" t="str">
        <x:v>STB Annual Report 2023-2024</x:v>
      </x:c>
      <x:c r="H44" s="23" t="n">
        <x:v>35</x:v>
      </x:c>
      <x:c r="I44" s="23" t="str">
        <x:v>https://isomer-user-content.by.gov.sg/1/223af187-e0d0-4c9d-a517-186a8a61e516/STB%20Annual%20Report%20FY23-24.pdf</x:v>
      </x:c>
      <x:c r="J44" s="23" t="str"/>
    </x:row>
    <x:row r="45" ht="32" customHeight="1">
      <x:c r="A45" s="22" t="n">
        <x:v>2023</x:v>
      </x:c>
      <x:c r="B45" t="str">
        <x:v>Jan-Dec 2023</x:v>
      </x:c>
      <x:c r="C45" t="str">
        <x:v>India</x:v>
      </x:c>
      <x:c r="D45" s="15" t="n">
        <x:v>1520</x:v>
      </x:c>
      <x:c r="E45" s="22" t="n">
        <x:v>4</x:v>
      </x:c>
      <x:c r="F45" s="23" t="str">
        <x:v>Country/place-of-residence receipts exclude Sightseeing, Entertainment &amp; Gaming (SEG)</x:v>
      </x:c>
      <x:c r="G45" s="23" t="str">
        <x:v>STB Annual Report 2023-2024</x:v>
      </x:c>
      <x:c r="H45" s="23" t="n">
        <x:v>35</x:v>
      </x:c>
      <x:c r="I45" s="23" t="str">
        <x:v>https://isomer-user-content.by.gov.sg/1/223af187-e0d0-4c9d-a517-186a8a61e516/STB%20Annual%20Report%20FY23-24.pdf</x:v>
      </x:c>
      <x:c r="J45" s="23" t="str"/>
    </x:row>
    <x:row r="46" ht="32" customHeight="1">
      <x:c r="A46" s="22" t="n">
        <x:v>2023</x:v>
      </x:c>
      <x:c r="B46" t="str">
        <x:v>Jan-Dec 2023</x:v>
      </x:c>
      <x:c r="C46" t="str">
        <x:v>USA</x:v>
      </x:c>
      <x:c r="D46" s="15" t="n">
        <x:v>1420</x:v>
      </x:c>
      <x:c r="E46" s="22" t="n">
        <x:v>5</x:v>
      </x:c>
      <x:c r="F46" s="23" t="str">
        <x:v>Country/place-of-residence receipts exclude Sightseeing, Entertainment &amp; Gaming (SEG)</x:v>
      </x:c>
      <x:c r="G46" s="23" t="str">
        <x:v>STB Annual Report 2023-2024</x:v>
      </x:c>
      <x:c r="H46" s="23" t="n">
        <x:v>35</x:v>
      </x:c>
      <x:c r="I46" s="23" t="str">
        <x:v>https://isomer-user-content.by.gov.sg/1/223af187-e0d0-4c9d-a517-186a8a61e516/STB%20Annual%20Report%20FY23-24.pdf</x:v>
      </x:c>
      <x:c r="J46" s="23" t="str"/>
    </x:row>
    <x:row r="47" ht="32" customHeight="1">
      <x:c r="A47" s="22" t="n">
        <x:v>2023</x:v>
      </x:c>
      <x:c r="B47" t="str">
        <x:v>Jan-Dec 2023</x:v>
      </x:c>
      <x:c r="C47" t="str">
        <x:v>Malaysia</x:v>
      </x:c>
      <x:c r="D47" s="15" t="n">
        <x:v>903</x:v>
      </x:c>
      <x:c r="E47" s="22" t="n">
        <x:v>6</x:v>
      </x:c>
      <x:c r="F47" s="23" t="str">
        <x:v>Country/place-of-residence receipts exclude Sightseeing, Entertainment &amp; Gaming (SEG)</x:v>
      </x:c>
      <x:c r="G47" s="23" t="str">
        <x:v>STB Annual Report 2023-2024</x:v>
      </x:c>
      <x:c r="H47" s="23" t="n">
        <x:v>35</x:v>
      </x:c>
      <x:c r="I47" s="23" t="str">
        <x:v>https://isomer-user-content.by.gov.sg/1/223af187-e0d0-4c9d-a517-186a8a61e516/STB%20Annual%20Report%20FY23-24.pdf</x:v>
      </x:c>
      <x:c r="J47" s="23" t="str"/>
    </x:row>
    <x:row r="48" ht="32" customHeight="1">
      <x:c r="A48" s="22" t="n">
        <x:v>2023</x:v>
      </x:c>
      <x:c r="B48" t="str">
        <x:v>Jan-Dec 2023</x:v>
      </x:c>
      <x:c r="C48" t="str">
        <x:v>UK</x:v>
      </x:c>
      <x:c r="D48" s="15" t="n">
        <x:v>860</x:v>
      </x:c>
      <x:c r="E48" s="22" t="n">
        <x:v>7</x:v>
      </x:c>
      <x:c r="F48" s="23" t="str">
        <x:v>Country/place-of-residence receipts exclude Sightseeing, Entertainment &amp; Gaming (SEG)</x:v>
      </x:c>
      <x:c r="G48" s="23" t="str">
        <x:v>STB Annual Report 2023-2024</x:v>
      </x:c>
      <x:c r="H48" s="23" t="n">
        <x:v>35</x:v>
      </x:c>
      <x:c r="I48" s="23" t="str">
        <x:v>https://isomer-user-content.by.gov.sg/1/223af187-e0d0-4c9d-a517-186a8a61e516/STB%20Annual%20Report%20FY23-24.pdf</x:v>
      </x:c>
      <x:c r="J48" s="23" t="str"/>
    </x:row>
    <x:row r="49" ht="32" customHeight="1">
      <x:c r="A49" s="22" t="n">
        <x:v>2023</x:v>
      </x:c>
      <x:c r="B49" t="str">
        <x:v>Jan-Dec 2023</x:v>
      </x:c>
      <x:c r="C49" t="str">
        <x:v>Philippines</x:v>
      </x:c>
      <x:c r="D49" s="15" t="n">
        <x:v>827</x:v>
      </x:c>
      <x:c r="E49" s="22" t="n">
        <x:v>8</x:v>
      </x:c>
      <x:c r="F49" s="23" t="str">
        <x:v>Country/place-of-residence receipts exclude Sightseeing, Entertainment &amp; Gaming (SEG)</x:v>
      </x:c>
      <x:c r="G49" s="23" t="str">
        <x:v>STB Annual Report 2023-2024</x:v>
      </x:c>
      <x:c r="H49" s="23" t="n">
        <x:v>35</x:v>
      </x:c>
      <x:c r="I49" s="23" t="str">
        <x:v>https://isomer-user-content.by.gov.sg/1/223af187-e0d0-4c9d-a517-186a8a61e516/STB%20Annual%20Report%20FY23-24.pdf</x:v>
      </x:c>
      <x:c r="J49" s="23" t="str"/>
    </x:row>
    <x:row r="50" ht="32" customHeight="1">
      <x:c r="A50" s="22" t="n">
        <x:v>2023</x:v>
      </x:c>
      <x:c r="B50" t="str">
        <x:v>Jan-Dec 2023</x:v>
      </x:c>
      <x:c r="C50" t="str">
        <x:v>Japan</x:v>
      </x:c>
      <x:c r="D50" s="15" t="n">
        <x:v>753</x:v>
      </x:c>
      <x:c r="E50" s="22" t="n">
        <x:v>9</x:v>
      </x:c>
      <x:c r="F50" s="23" t="str">
        <x:v>Country/place-of-residence receipts exclude Sightseeing, Entertainment &amp; Gaming (SEG)</x:v>
      </x:c>
      <x:c r="G50" s="23" t="str">
        <x:v>STB Annual Report 2023-2024</x:v>
      </x:c>
      <x:c r="H50" s="23" t="n">
        <x:v>35</x:v>
      </x:c>
      <x:c r="I50" s="23" t="str">
        <x:v>https://isomer-user-content.by.gov.sg/1/223af187-e0d0-4c9d-a517-186a8a61e516/STB%20Annual%20Report%20FY23-24.pdf</x:v>
      </x:c>
      <x:c r="J50" s="23" t="str"/>
    </x:row>
    <x:row r="51" ht="32" customHeight="1">
      <x:c r="A51" s="22" t="n">
        <x:v>2023</x:v>
      </x:c>
      <x:c r="B51" t="str">
        <x:v>Jan-Dec 2023</x:v>
      </x:c>
      <x:c r="C51" t="str">
        <x:v>South Korea</x:v>
      </x:c>
      <x:c r="D51" s="15" t="n">
        <x:v>701</x:v>
      </x:c>
      <x:c r="E51" s="22" t="n">
        <x:v>10</x:v>
      </x:c>
      <x:c r="F51" s="23" t="str">
        <x:v>Country/place-of-residence receipts exclude Sightseeing, Entertainment &amp; Gaming (SEG)</x:v>
      </x:c>
      <x:c r="G51" s="23" t="str">
        <x:v>STB Annual Report 2023-2024</x:v>
      </x:c>
      <x:c r="H51" s="23" t="n">
        <x:v>35</x:v>
      </x:c>
      <x:c r="I51" s="23" t="str">
        <x:v>https://isomer-user-content.by.gov.sg/1/223af187-e0d0-4c9d-a517-186a8a61e516/STB%20Annual%20Report%20FY23-24.pdf</x:v>
      </x:c>
      <x:c r="J51" s="23" t="str"/>
    </x:row>
    <x:row r="52" ht="32" customHeight="1">
      <x:c r="A52" s="22" t="n">
        <x:v>2024</x:v>
      </x:c>
      <x:c r="B52" t="str">
        <x:v>Jan-Dec 2024</x:v>
      </x:c>
      <x:c r="C52" t="str">
        <x:v>Mainland China</x:v>
      </x:c>
      <x:c r="D52" s="15" t="n">
        <x:v>4580</x:v>
      </x:c>
      <x:c r="E52" s="22" t="n">
        <x:v>1</x:v>
      </x:c>
      <x:c r="F52" s="23" t="str">
        <x:v>Country/place-of-residence receipts exclude Sightseeing, Entertainment &amp; Gaming (SEG)</x:v>
      </x:c>
      <x:c r="G52" s="23" t="str">
        <x:v>STB Annual Report 2024-2025</x:v>
      </x:c>
      <x:c r="H52" s="23" t="n">
        <x:v>32</x:v>
      </x:c>
      <x:c r="I52" s="23" t="str">
        <x:v>https://isomer-user-content.by.gov.sg/1/be3b4a16-e2f3-465c-a8cb-a3d664d41ef4/STB%20Annual%20Report%202024-2025.pdf</x:v>
      </x:c>
      <x:c r="J52" s="23" t="str"/>
    </x:row>
    <x:row r="53" ht="32" customHeight="1">
      <x:c r="A53" s="22" t="n">
        <x:v>2024</x:v>
      </x:c>
      <x:c r="B53" t="str">
        <x:v>Jan-Dec 2024</x:v>
      </x:c>
      <x:c r="C53" t="str">
        <x:v>Indonesia</x:v>
      </x:c>
      <x:c r="D53" s="15" t="n">
        <x:v>2890</x:v>
      </x:c>
      <x:c r="E53" s="22" t="n">
        <x:v>2</x:v>
      </x:c>
      <x:c r="F53" s="23" t="str">
        <x:v>Country/place-of-residence receipts exclude Sightseeing, Entertainment &amp; Gaming (SEG)</x:v>
      </x:c>
      <x:c r="G53" s="23" t="str">
        <x:v>STB Annual Report 2024-2025</x:v>
      </x:c>
      <x:c r="H53" s="23" t="n">
        <x:v>32</x:v>
      </x:c>
      <x:c r="I53" s="23" t="str">
        <x:v>https://isomer-user-content.by.gov.sg/1/be3b4a16-e2f3-465c-a8cb-a3d664d41ef4/STB%20Annual%20Report%202024-2025.pdf</x:v>
      </x:c>
      <x:c r="J53" s="23" t="str"/>
    </x:row>
    <x:row r="54" ht="32" customHeight="1">
      <x:c r="A54" s="22" t="n">
        <x:v>2024</x:v>
      </x:c>
      <x:c r="B54" t="str">
        <x:v>Jan-Dec 2024</x:v>
      </x:c>
      <x:c r="C54" t="str">
        <x:v>Australia</x:v>
      </x:c>
      <x:c r="D54" s="15" t="n">
        <x:v>2000</x:v>
      </x:c>
      <x:c r="E54" s="22" t="n">
        <x:v>3</x:v>
      </x:c>
      <x:c r="F54" s="23" t="str">
        <x:v>Country/place-of-residence receipts exclude Sightseeing, Entertainment &amp; Gaming (SEG)</x:v>
      </x:c>
      <x:c r="G54" s="23" t="str">
        <x:v>STB Annual Report 2024-2025</x:v>
      </x:c>
      <x:c r="H54" s="23" t="n">
        <x:v>32</x:v>
      </x:c>
      <x:c r="I54" s="23" t="str">
        <x:v>https://isomer-user-content.by.gov.sg/1/be3b4a16-e2f3-465c-a8cb-a3d664d41ef4/STB%20Annual%20Report%202024-2025.pdf</x:v>
      </x:c>
      <x:c r="J54" s="23" t="str"/>
    </x:row>
    <x:row r="55" ht="32" customHeight="1">
      <x:c r="A55" s="22" t="n">
        <x:v>2024</x:v>
      </x:c>
      <x:c r="B55" t="str">
        <x:v>Jan-Dec 2024</x:v>
      </x:c>
      <x:c r="C55" t="str">
        <x:v>USA</x:v>
      </x:c>
      <x:c r="D55" s="15" t="n">
        <x:v>1500</x:v>
      </x:c>
      <x:c r="E55" s="22" t="n">
        <x:v>4</x:v>
      </x:c>
      <x:c r="F55" s="23" t="str">
        <x:v>Country/place-of-residence receipts exclude Sightseeing, Entertainment &amp; Gaming (SEG)</x:v>
      </x:c>
      <x:c r="G55" s="23" t="str">
        <x:v>STB Annual Report 2024-2025</x:v>
      </x:c>
      <x:c r="H55" s="23" t="n">
        <x:v>32</x:v>
      </x:c>
      <x:c r="I55" s="23" t="str">
        <x:v>https://isomer-user-content.by.gov.sg/1/be3b4a16-e2f3-465c-a8cb-a3d664d41ef4/STB%20Annual%20Report%202024-2025.pdf</x:v>
      </x:c>
      <x:c r="J55" s="23" t="str"/>
    </x:row>
    <x:row r="56" ht="32" customHeight="1">
      <x:c r="A56" s="22" t="n">
        <x:v>2024</x:v>
      </x:c>
      <x:c r="B56" t="str">
        <x:v>Jan-Dec 2024</x:v>
      </x:c>
      <x:c r="C56" t="str">
        <x:v>India</x:v>
      </x:c>
      <x:c r="D56" s="15" t="n">
        <x:v>1480</x:v>
      </x:c>
      <x:c r="E56" s="22" t="n">
        <x:v>5</x:v>
      </x:c>
      <x:c r="F56" s="23" t="str">
        <x:v>Country/place-of-residence receipts exclude Sightseeing, Entertainment &amp; Gaming (SEG)</x:v>
      </x:c>
      <x:c r="G56" s="23" t="str">
        <x:v>STB Annual Report 2024-2025</x:v>
      </x:c>
      <x:c r="H56" s="23" t="n">
        <x:v>32</x:v>
      </x:c>
      <x:c r="I56" s="23" t="str">
        <x:v>https://isomer-user-content.by.gov.sg/1/be3b4a16-e2f3-465c-a8cb-a3d664d41ef4/STB%20Annual%20Report%202024-2025.pdf</x:v>
      </x:c>
      <x:c r="J56" s="23" t="str"/>
    </x:row>
    <x:row r="57" ht="32" customHeight="1">
      <x:c r="A57" s="22" t="n">
        <x:v>2024</x:v>
      </x:c>
      <x:c r="B57" t="str">
        <x:v>Jan-Dec 2024</x:v>
      </x:c>
      <x:c r="C57" t="str">
        <x:v>Japan</x:v>
      </x:c>
      <x:c r="D57" s="15" t="n">
        <x:v>949</x:v>
      </x:c>
      <x:c r="E57" s="22" t="n">
        <x:v>6</x:v>
      </x:c>
      <x:c r="F57" s="23" t="str">
        <x:v>Country/place-of-residence receipts exclude Sightseeing, Entertainment &amp; Gaming (SEG)</x:v>
      </x:c>
      <x:c r="G57" s="23" t="str">
        <x:v>STB Annual Report 2024-2025</x:v>
      </x:c>
      <x:c r="H57" s="23" t="n">
        <x:v>32</x:v>
      </x:c>
      <x:c r="I57" s="23" t="str">
        <x:v>https://isomer-user-content.by.gov.sg/1/be3b4a16-e2f3-465c-a8cb-a3d664d41ef4/STB%20Annual%20Report%202024-2025.pdf</x:v>
      </x:c>
      <x:c r="J57" s="23" t="str"/>
    </x:row>
    <x:row r="58" ht="32" customHeight="1">
      <x:c r="A58" s="22" t="n">
        <x:v>2024</x:v>
      </x:c>
      <x:c r="B58" t="str">
        <x:v>Jan-Dec 2024</x:v>
      </x:c>
      <x:c r="C58" t="str">
        <x:v>UK</x:v>
      </x:c>
      <x:c r="D58" s="15" t="n">
        <x:v>915</x:v>
      </x:c>
      <x:c r="E58" s="22" t="n">
        <x:v>7</x:v>
      </x:c>
      <x:c r="F58" s="23" t="str">
        <x:v>Country/place-of-residence receipts exclude Sightseeing, Entertainment &amp; Gaming (SEG)</x:v>
      </x:c>
      <x:c r="G58" s="23" t="str">
        <x:v>STB Annual Report 2024-2025</x:v>
      </x:c>
      <x:c r="H58" s="23" t="n">
        <x:v>32</x:v>
      </x:c>
      <x:c r="I58" s="23" t="str">
        <x:v>https://isomer-user-content.by.gov.sg/1/be3b4a16-e2f3-465c-a8cb-a3d664d41ef4/STB%20Annual%20Report%202024-2025.pdf</x:v>
      </x:c>
      <x:c r="J58" s="23" t="str"/>
    </x:row>
    <x:row r="59" ht="32" customHeight="1">
      <x:c r="A59" s="22" t="n">
        <x:v>2024</x:v>
      </x:c>
      <x:c r="B59" t="str">
        <x:v>Jan-Dec 2024</x:v>
      </x:c>
      <x:c r="C59" t="str">
        <x:v>Malaysia</x:v>
      </x:c>
      <x:c r="D59" s="15" t="n">
        <x:v>903</x:v>
      </x:c>
      <x:c r="E59" s="22" t="n">
        <x:v>8</x:v>
      </x:c>
      <x:c r="F59" s="23" t="str">
        <x:v>Country/place-of-residence receipts exclude Sightseeing, Entertainment &amp; Gaming (SEG)</x:v>
      </x:c>
      <x:c r="G59" s="23" t="str">
        <x:v>STB Annual Report 2024-2025</x:v>
      </x:c>
      <x:c r="H59" s="23" t="n">
        <x:v>32</x:v>
      </x:c>
      <x:c r="I59" s="23" t="str">
        <x:v>https://isomer-user-content.by.gov.sg/1/be3b4a16-e2f3-465c-a8cb-a3d664d41ef4/STB%20Annual%20Report%202024-2025.pdf</x:v>
      </x:c>
      <x:c r="J59" s="23" t="str"/>
    </x:row>
    <x:row r="60" ht="32" customHeight="1">
      <x:c r="A60" s="22" t="n">
        <x:v>2024</x:v>
      </x:c>
      <x:c r="B60" t="str">
        <x:v>Jan-Dec 2024</x:v>
      </x:c>
      <x:c r="C60" t="str">
        <x:v>Philippines</x:v>
      </x:c>
      <x:c r="D60" s="15" t="n">
        <x:v>836</x:v>
      </x:c>
      <x:c r="E60" s="22" t="n">
        <x:v>9</x:v>
      </x:c>
      <x:c r="F60" s="23" t="str">
        <x:v>Country/place-of-residence receipts exclude Sightseeing, Entertainment &amp; Gaming (SEG)</x:v>
      </x:c>
      <x:c r="G60" s="23" t="str">
        <x:v>STB Annual Report 2024-2025</x:v>
      </x:c>
      <x:c r="H60" s="23" t="n">
        <x:v>32</x:v>
      </x:c>
      <x:c r="I60" s="23" t="str">
        <x:v>https://isomer-user-content.by.gov.sg/1/be3b4a16-e2f3-465c-a8cb-a3d664d41ef4/STB%20Annual%20Report%202024-2025.pdf</x:v>
      </x:c>
      <x:c r="J60" s="23" t="str"/>
    </x:row>
    <x:row r="61" ht="32" customHeight="1">
      <x:c r="A61" s="22" t="n">
        <x:v>2024</x:v>
      </x:c>
      <x:c r="B61" t="str">
        <x:v>Jan-Dec 2024</x:v>
      </x:c>
      <x:c r="C61" t="str">
        <x:v>South Korea</x:v>
      </x:c>
      <x:c r="D61" s="15" t="n">
        <x:v>653</x:v>
      </x:c>
      <x:c r="E61" s="22" t="n">
        <x:v>10</x:v>
      </x:c>
      <x:c r="F61" s="23" t="str">
        <x:v>Country/place-of-residence receipts exclude Sightseeing, Entertainment &amp; Gaming (SEG)</x:v>
      </x:c>
      <x:c r="G61" s="23" t="str">
        <x:v>STB Annual Report 2024-2025</x:v>
      </x:c>
      <x:c r="H61" s="23" t="n">
        <x:v>32</x:v>
      </x:c>
      <x:c r="I61" s="23" t="str">
        <x:v>https://isomer-user-content.by.gov.sg/1/be3b4a16-e2f3-465c-a8cb-a3d664d41ef4/STB%20Annual%20Report%202024-2025.pdf</x:v>
      </x:c>
      <x:c r="J61" s="23" t="str"/>
    </x:row>
    <x:row r="62" ht="48" customHeight="1">
      <x:c r="A62" s="22" t="n">
        <x:v>2025</x:v>
      </x:c>
      <x:c r="B62" t="str">
        <x:v>Jan-Sep 2025 (partial)</x:v>
      </x:c>
      <x:c r="C62" t="str">
        <x:v>Mainland China</x:v>
      </x:c>
      <x:c r="D62" s="15" t="n">
        <x:v>3680</x:v>
      </x:c>
      <x:c r="E62" s="22" t="n">
        <x:v>1</x:v>
      </x:c>
      <x:c r="F62" s="23" t="str">
        <x:v>Country/place-of-residence receipts exclude Sightseeing, Entertainment &amp; Gaming (SEG)</x:v>
      </x:c>
      <x:c r="G62" s="23" t="str">
        <x:v>STB media release: Record Singapore tourism receipts from Jan-Sep 2025</x:v>
      </x:c>
      <x:c r="H62" s="23" t="str">
        <x:v>Web release</x:v>
      </x:c>
      <x:c r="I62" s="23" t="str">
        <x:v>https://www.stb.gov.sg/about-stb/media-publications/media-centre/record-singapore-tourism-receipts-from-january-to-september-2025/</x:v>
      </x:c>
      <x:c r="J62" s="23" t="str">
        <x:v>Partial-year disclosure only; not comparable with full-year columns without adjustment.</x:v>
      </x:c>
    </x:row>
    <x:row r="63" ht="48" customHeight="1">
      <x:c r="A63" s="22" t="n">
        <x:v>2025</x:v>
      </x:c>
      <x:c r="B63" t="str">
        <x:v>Jan-Sep 2025 (partial)</x:v>
      </x:c>
      <x:c r="C63" t="str">
        <x:v>Indonesia</x:v>
      </x:c>
      <x:c r="D63" s="15" t="n">
        <x:v>2090</x:v>
      </x:c>
      <x:c r="E63" s="22" t="n">
        <x:v>2</x:v>
      </x:c>
      <x:c r="F63" s="23" t="str">
        <x:v>Country/place-of-residence receipts exclude Sightseeing, Entertainment &amp; Gaming (SEG)</x:v>
      </x:c>
      <x:c r="G63" s="23" t="str">
        <x:v>STB media release: Record Singapore tourism receipts from Jan-Sep 2025</x:v>
      </x:c>
      <x:c r="H63" s="23" t="str">
        <x:v>Web release</x:v>
      </x:c>
      <x:c r="I63" s="23" t="str">
        <x:v>https://www.stb.gov.sg/about-stb/media-publications/media-centre/record-singapore-tourism-receipts-from-january-to-september-2025/</x:v>
      </x:c>
      <x:c r="J63" s="23" t="str">
        <x:v>Partial-year disclosure only; not comparable with full-year columns without adjustment.</x:v>
      </x:c>
    </x:row>
    <x:row r="64" ht="48" customHeight="1">
      <x:c r="A64" s="22" t="n">
        <x:v>2025</x:v>
      </x:c>
      <x:c r="B64" t="str">
        <x:v>Jan-Sep 2025 (partial)</x:v>
      </x:c>
      <x:c r="C64" t="str">
        <x:v>Australia</x:v>
      </x:c>
      <x:c r="D64" s="15" t="n">
        <x:v>1540</x:v>
      </x:c>
      <x:c r="E64" s="22" t="n">
        <x:v>3</x:v>
      </x:c>
      <x:c r="F64" s="23" t="str">
        <x:v>Country/place-of-residence receipts exclude Sightseeing, Entertainment &amp; Gaming (SEG)</x:v>
      </x:c>
      <x:c r="G64" s="23" t="str">
        <x:v>STB media release: Record Singapore tourism receipts from Jan-Sep 2025</x:v>
      </x:c>
      <x:c r="H64" s="23" t="str">
        <x:v>Web release</x:v>
      </x:c>
      <x:c r="I64" s="23" t="str">
        <x:v>https://www.stb.gov.sg/about-stb/media-publications/media-centre/record-singapore-tourism-receipts-from-january-to-september-2025/</x:v>
      </x:c>
      <x:c r="J64" s="23" t="str">
        <x:v>Partial-year disclosure only; not comparable with full-year columns without adjustment.</x:v>
      </x:c>
    </x:row>
  </x:sheetData>
  <x:pageMargins left="0.7" right="0.7" top="0.75" bottom="0.75" header="0.3" footer="0.3"/>
  <x:tableParts count="1">
    <x:tablePart xmlns:r="http://schemas.openxmlformats.org/officeDocument/2006/relationships" r:id="R830e3228080d46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40" hidden="0" customWidth="1"/>
    <x:col min="4" max="4" width="38" hidden="0" customWidth="1"/>
    <x:col min="5" max="5" width="58" hidden="0" customWidth="1"/>
    <x:col min="6" max="6" width="58" hidden="0" customWidth="1"/>
  </x:cols>
  <x:sheetData>
    <x:row r="1" ht="32" customHeight="1">
      <x:c r="A1" s="2" t="str">
        <x:v>Sources, scope and quality notes</x:v>
      </x:c>
      <x:c r="B1" s="2"/>
      <x:c r="C1" s="2"/>
      <x:c r="D1" s="2"/>
      <x:c r="E1" s="2"/>
      <x:c r="F1" s="2"/>
    </x:row>
    <x:row r="2" ht="44" customHeight="1">
      <x:c r="A2" s="25" t="str">
        <x:v>Calendar-year market tables from STB annual reports, supplemented by the Jan-Sep 2025 STB release because no full-year 2025 place-of-residence table was publicly located as of 29 Aug 2026.</x:v>
      </x:c>
      <x:c r="B2" s="25"/>
      <x:c r="C2" s="25"/>
      <x:c r="D2" s="25"/>
      <x:c r="E2" s="25"/>
      <x:c r="F2" s="25"/>
    </x:row>
    <x:row r="4" ht="30" customHeight="1">
      <x:c r="A4" s="21" t="str">
        <x:v>Data year</x:v>
      </x:c>
      <x:c r="B4" s="21" t="str">
        <x:v>Coverage</x:v>
      </x:c>
      <x:c r="C4" s="21" t="str">
        <x:v>Source</x:v>
      </x:c>
      <x:c r="D4" s="21" t="str">
        <x:v>Table / page</x:v>
      </x:c>
      <x:c r="E4" s="21" t="str">
        <x:v>URL</x:v>
      </x:c>
      <x:c r="F4" s="21" t="str">
        <x:v>Notes</x:v>
      </x:c>
    </x:row>
    <x:row r="5" ht="42" customHeight="1">
      <x:c r="A5" s="23" t="n">
        <x:v>2019</x:v>
      </x:c>
      <x:c r="B5" s="23" t="str">
        <x:v>Jan-Dec 2019</x:v>
      </x:c>
      <x:c r="C5" s="23" t="str">
        <x:v>STB Annual Report 2019-2020</x:v>
      </x:c>
      <x:c r="D5" s="23" t="str">
        <x:v>Tourism receipts by major components, top markets; p. 28</x:v>
      </x:c>
      <x:c r="E5" s="23" t="str">
        <x:v>https://file.go.gov.sg/stb-ar-19-20.pdf</x:v>
      </x:c>
      <x:c r="F5" s="23" t="str">
        <x:v>Top 10 published places; country figures exclude SEG. Indonesia contains a source discrepancy; see quality note and cell comment.</x:v>
      </x:c>
    </x:row>
    <x:row r="6" ht="42" customHeight="1">
      <x:c r="A6" s="23" t="n">
        <x:v>2020</x:v>
      </x:c>
      <x:c r="B6" s="23" t="str">
        <x:v>Jan-Dec 2020</x:v>
      </x:c>
      <x:c r="C6" s="23" t="str">
        <x:v>STB Annual Report 2020-2021</x:v>
      </x:c>
      <x:c r="D6" s="23" t="str">
        <x:v>Tourism receipts by major components, top markets; p. 28</x:v>
      </x:c>
      <x:c r="E6" s="23" t="str">
        <x:v>https://go.gov.sg/stb-ar-20-21</x:v>
      </x:c>
      <x:c r="F6" s="23" t="str">
        <x:v>Top 10 published places; country figures exclude SEG.</x:v>
      </x:c>
    </x:row>
    <x:row r="7" ht="42" customHeight="1">
      <x:c r="A7" s="23" t="n">
        <x:v>2021</x:v>
      </x:c>
      <x:c r="B7" s="23" t="str">
        <x:v>Jan-Dec 2021</x:v>
      </x:c>
      <x:c r="C7" s="23" t="str">
        <x:v>STB Annual Report 2021-2022</x:v>
      </x:c>
      <x:c r="D7" s="23" t="str">
        <x:v>Tourism receipts by major components, top markets; p. 32</x:v>
      </x:c>
      <x:c r="E7" s="23" t="str">
        <x:v>https://go.gov.sg/stb-ar-21-22</x:v>
      </x:c>
      <x:c r="F7" s="23" t="str">
        <x:v>Top 10 published places; country figures exclude SEG.</x:v>
      </x:c>
    </x:row>
    <x:row r="8" ht="42" customHeight="1">
      <x:c r="A8" s="23" t="n">
        <x:v>2022</x:v>
      </x:c>
      <x:c r="B8" s="23" t="str">
        <x:v>Jan-Dec 2022</x:v>
      </x:c>
      <x:c r="C8" s="23" t="str">
        <x:v>STB Annual Report 2022-2023</x:v>
      </x:c>
      <x:c r="D8" s="23" t="str">
        <x:v>Tourism receipts by major components, top markets; p. 33</x:v>
      </x:c>
      <x:c r="E8" s="23" t="str">
        <x:v>https://go.gov.sg/stb-ar-22-23</x:v>
      </x:c>
      <x:c r="F8" s="23" t="str">
        <x:v>Top 10 published places; country figures exclude SEG.</x:v>
      </x:c>
    </x:row>
    <x:row r="9" ht="42" customHeight="1">
      <x:c r="A9" s="23" t="n">
        <x:v>2023</x:v>
      </x:c>
      <x:c r="B9" s="23" t="str">
        <x:v>Jan-Dec 2023</x:v>
      </x:c>
      <x:c r="C9" s="23" t="str">
        <x:v>STB Annual Report 2023-2024</x:v>
      </x:c>
      <x:c r="D9" s="23" t="str">
        <x:v>Tourism receipts by major components, top markets; p. 35</x:v>
      </x:c>
      <x:c r="E9" s="23" t="str">
        <x:v>https://isomer-user-content.by.gov.sg/1/223af187-e0d0-4c9d-a517-186a8a61e516/STB%20Annual%20Report%20FY23-24.pdf</x:v>
      </x:c>
      <x:c r="F9" s="23" t="str">
        <x:v>Top 10 published places; country figures exclude SEG.</x:v>
      </x:c>
    </x:row>
    <x:row r="10" ht="42" customHeight="1">
      <x:c r="A10" s="23" t="n">
        <x:v>2024</x:v>
      </x:c>
      <x:c r="B10" s="23" t="str">
        <x:v>Jan-Dec 2024</x:v>
      </x:c>
      <x:c r="C10" s="23" t="str">
        <x:v>STB Annual Report 2024-2025</x:v>
      </x:c>
      <x:c r="D10" s="23" t="str">
        <x:v>Tourism receipts by major components, top markets; p. 32</x:v>
      </x:c>
      <x:c r="E10" s="23" t="str">
        <x:v>https://isomer-user-content.by.gov.sg/1/be3b4a16-e2f3-465c-a8cb-a3d664d41ef4/STB%20Annual%20Report%202024-2025.pdf</x:v>
      </x:c>
      <x:c r="F10" s="23" t="str">
        <x:v>Top 10 published places; country figures exclude SEG.</x:v>
      </x:c>
    </x:row>
    <x:row r="11" ht="42" customHeight="1">
      <x:c r="A11" s="23" t="n">
        <x:v>2025</x:v>
      </x:c>
      <x:c r="B11" s="23" t="str">
        <x:v>Jan-Sep 2025 (partial)</x:v>
      </x:c>
      <x:c r="C11" s="23" t="str">
        <x:v>STB media release: Record Singapore tourism receipts from Jan-Sep 2025</x:v>
      </x:c>
      <x:c r="D11" s="23" t="str">
        <x:v>Tourism receipts by major components, top markets; p. Web release</x:v>
      </x:c>
      <x:c r="E11" s="23" t="str">
        <x:v>https://www.stb.gov.sg/about-stb/media-publications/media-centre/record-singapore-tourism-receipts-from-january-to-september-2025/</x:v>
      </x:c>
      <x:c r="F11" s="23" t="str">
        <x:v>Only the top three places were disclosed for Jan-Sep; this is not an annual figure.</x:v>
      </x:c>
    </x:row>
    <x:row r="13" ht="26" customHeight="1">
      <x:c r="A13" s="27" t="str">
        <x:v>Interpretation rules</x:v>
      </x:c>
      <x:c r="B13" s="27"/>
      <x:c r="C13" s="27"/>
      <x:c r="D13" s="27"/>
      <x:c r="E13" s="27"/>
      <x:c r="F13" s="27"/>
    </x:row>
    <x:row r="14" ht="28" customHeight="1">
      <x:c r="A14" s="30" t="str">
        <x:v>1. Official terminology is place of residence; it is not necessarily citizenship or nationality.</x:v>
      </x:c>
      <x:c r="B14" s="30"/>
      <x:c r="C14" s="30"/>
      <x:c r="D14" s="30"/>
      <x:c r="E14" s="30"/>
      <x:c r="F14" s="30"/>
    </x:row>
    <x:row r="15" ht="28" customHeight="1">
      <x:c r="A15" s="30" t="str">
        <x:v>2. All country/place-of-residence amounts exclude Sightseeing, Entertainment &amp; Gaming due to commercial sensitivity.</x:v>
      </x:c>
      <x:c r="B15" s="30"/>
      <x:c r="C15" s="30"/>
      <x:c r="D15" s="30"/>
      <x:c r="E15" s="30"/>
      <x:c r="F15" s="30"/>
    </x:row>
    <x:row r="16" ht="28" customHeight="1">
      <x:c r="A16" s="30" t="str">
        <x:v>3. A blank in the wide table means the place was not in that year's published top 10 (or was not disclosed), not that receipts were zero.</x:v>
      </x:c>
      <x:c r="B16" s="30"/>
      <x:c r="C16" s="30"/>
      <x:c r="D16" s="30"/>
      <x:c r="E16" s="30"/>
      <x:c r="F16" s="30"/>
    </x:row>
    <x:row r="17" ht="28" customHeight="1">
      <x:c r="A17" s="30" t="str">
        <x:v>4. 2025 figures cover Jan-Sep and only the top three places; do not compare them directly with full-year values.</x:v>
      </x:c>
      <x:c r="B17" s="30"/>
      <x:c r="C17" s="30"/>
      <x:c r="D17" s="30"/>
      <x:c r="E17" s="30"/>
      <x:c r="F17" s="30"/>
    </x:row>
    <x:row r="18" ht="28" customHeight="1">
      <x:c r="A18" s="30" t="str">
        <x:v>5. Amounts are nominal Singapore dollars and are not inflation-adjusted.</x:v>
      </x:c>
      <x:c r="B18" s="30"/>
      <x:c r="C18" s="30"/>
      <x:c r="D18" s="30"/>
      <x:c r="E18" s="30"/>
      <x:c r="F18" s="30"/>
    </x:row>
  </x:sheetData>
  <x:mergeCells>
    <x:mergeCell ref="A1:F1"/>
    <x:mergeCell ref="A2:F2"/>
    <x:mergeCell ref="A13:F13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  <x:tableParts count="1">
    <x:tablePart xmlns:r="http://schemas.openxmlformats.org/officeDocument/2006/relationships" r:id="R87ec2de78f2a4df6"/>
  </x:tableParts>
</x:worksheet>
</file>